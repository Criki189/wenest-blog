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itorial Calenda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<sst xmlns="http://schemas.openxmlformats.org/spreadsheetml/2006/main" count="1013" uniqueCount="607">
  <si>
    <t xml:space="preserve">topic_id</t>
  </si>
  <si>
    <t xml:space="preserve">cluster</t>
  </si>
  <si>
    <t xml:space="preserve">cluster_name</t>
  </si>
  <si>
    <t xml:space="preserve">bucket</t>
  </si>
  <si>
    <t xml:space="preserve">title</t>
  </si>
  <si>
    <t xml:space="preserve">slug</t>
  </si>
  <si>
    <t xml:space="preserve">primary_keyword</t>
  </si>
  <si>
    <t xml:space="preserve">secondary_keywords</t>
  </si>
  <si>
    <t xml:space="preserve">search_intent</t>
  </si>
  <si>
    <t xml:space="preserve">target_word_count</t>
  </si>
  <si>
    <t xml:space="preserve">priority</t>
  </si>
  <si>
    <t xml:space="preserve">seed_batch</t>
  </si>
  <si>
    <t xml:space="preserve">brief</t>
  </si>
  <si>
    <t xml:space="preserve">status</t>
  </si>
  <si>
    <t xml:space="preserve">date_drafted</t>
  </si>
  <si>
    <t xml:space="preserve">date_published</t>
  </si>
  <si>
    <t xml:space="preserve">notes</t>
  </si>
  <si>
    <t xml:space="preserve">T001</t>
  </si>
  <si>
    <t xml:space="preserve">Plumbing fixes</t>
  </si>
  <si>
    <t xml:space="preserve">how-to</t>
  </si>
  <si>
    <t xml:space="preserve">How to unblock a kitchen sink without calling a plumber</t>
  </si>
  <si>
    <t xml:space="preserve">unblock-kitchen-sink-without-plumber</t>
  </si>
  <si>
    <t xml:space="preserve">unblock kitchen sink</t>
  </si>
  <si>
    <t xml:space="preserve">blocked sink drain;kitchen sink not draining;DIY sink unblocking</t>
  </si>
  <si>
    <t xml:space="preserve">informational</t>
  </si>
  <si>
    <t xml:space="preserve">TRUE</t>
  </si>
  <si>
    <t xml:space="preserve">Step-by-step guide with safe DIY methods, when to escalate. Anchor for the plumbing cluster.</t>
  </si>
  <si>
    <t xml:space="preserve">queued</t>
  </si>
  <si>
    <t xml:space="preserve">T002</t>
  </si>
  <si>
    <t xml:space="preserve">problems</t>
  </si>
  <si>
    <t xml:space="preserve">Why your shower drains slowly: 5 fixes that actually work</t>
  </si>
  <si>
    <t xml:space="preserve">shower-drains-slowly-fixes</t>
  </si>
  <si>
    <t xml:space="preserve">shower drains slowly</t>
  </si>
  <si>
    <t xml:space="preserve">slow shower drain;blocked shower drain Australia</t>
  </si>
  <si>
    <t xml:space="preserve">Common causes (hair, soap scum, deeper blockage) + working fixes. Sydney-specific water hardness note.</t>
  </si>
  <si>
    <t xml:space="preserve">T003</t>
  </si>
  <si>
    <t xml:space="preserve">home-operations</t>
  </si>
  <si>
    <t xml:space="preserve">The real cost of a burst pipe in Sydney homes</t>
  </si>
  <si>
    <t xml:space="preserve">real-cost-burst-pipe-sydney</t>
  </si>
  <si>
    <t xml:space="preserve">burst pipe cost Sydney</t>
  </si>
  <si>
    <t xml:space="preserve">burst pipe repair cost;water damage Australia;emergency plumber cost</t>
  </si>
  <si>
    <t xml:space="preserve">FALSE</t>
  </si>
  <si>
    <t xml:space="preserve">Repair + cleanup + insurance reality. Why prevention costs less than emergency callouts.</t>
  </si>
  <si>
    <t xml:space="preserve">T004</t>
  </si>
  <si>
    <t xml:space="preserve">Hot water system not heating? Diagnose before you call</t>
  </si>
  <si>
    <t xml:space="preserve">hot-water-not-heating-diagnose</t>
  </si>
  <si>
    <t xml:space="preserve">hot water system not working</t>
  </si>
  <si>
    <t xml:space="preserve">no hot water troubleshooting;electric hot water diagnosis;gas hot water no flame</t>
  </si>
  <si>
    <t xml:space="preserve">Decision tree: pilot light, thermostat, breaker, element. When to call vs DIY.</t>
  </si>
  <si>
    <t xml:space="preserve">T005</t>
  </si>
  <si>
    <t xml:space="preserve">How to spot a hidden water leak before the bill arrives</t>
  </si>
  <si>
    <t xml:space="preserve">hidden-water-leak-detection</t>
  </si>
  <si>
    <t xml:space="preserve">how to find water leak</t>
  </si>
  <si>
    <t xml:space="preserve">hidden water leak signs;water meter test;Sydney Water leak</t>
  </si>
  <si>
    <t xml:space="preserve">Meter test, visual signs, listening, moisture meter. Real homeowner saved $X story.</t>
  </si>
  <si>
    <t xml:space="preserve">T006</t>
  </si>
  <si>
    <t xml:space="preserve">transactional</t>
  </si>
  <si>
    <t xml:space="preserve">When to repair vs replace your hot water system</t>
  </si>
  <si>
    <t xml:space="preserve">repair-vs-replace-hot-water</t>
  </si>
  <si>
    <t xml:space="preserve">replace hot water system</t>
  </si>
  <si>
    <t xml:space="preserve">hot water system replacement cost;heat pump vs electric vs gas</t>
  </si>
  <si>
    <t xml:space="preserve">commercial</t>
  </si>
  <si>
    <t xml:space="preserve">Decision matrix by age, fuel type, family size. AUD pricing.</t>
  </si>
  <si>
    <t xml:space="preserve">T007</t>
  </si>
  <si>
    <t xml:space="preserve">What every homeowner should know about plumbing licences in NSW</t>
  </si>
  <si>
    <t xml:space="preserve">plumbing-licences-nsw</t>
  </si>
  <si>
    <t xml:space="preserve">licensed plumber NSW</t>
  </si>
  <si>
    <t xml:space="preserve">NSW plumbing licence check;unlicensed plumber risk;Fair Trading plumber</t>
  </si>
  <si>
    <t xml:space="preserve">Why an unlicensed plumber voids insurance + warranty. How to verify licence.</t>
  </si>
  <si>
    <t xml:space="preserve">T008</t>
  </si>
  <si>
    <t xml:space="preserve">Tap dripping? The 10-minute fix vs the $400 callout</t>
  </si>
  <si>
    <t xml:space="preserve">fix-dripping-tap</t>
  </si>
  <si>
    <t xml:space="preserve">fix dripping tap</t>
  </si>
  <si>
    <t xml:space="preserve">replace tap washer;leaking tap repair</t>
  </si>
  <si>
    <t xml:space="preserve">Hard-edged DIY guide. Saves real money, builds trust.</t>
  </si>
  <si>
    <t xml:space="preserve">T009</t>
  </si>
  <si>
    <t xml:space="preserve">Sewer smell in the house: causes and fixes</t>
  </si>
  <si>
    <t xml:space="preserve">sewer-smell-in-house</t>
  </si>
  <si>
    <t xml:space="preserve">sewer smell in house</t>
  </si>
  <si>
    <t xml:space="preserve">drain smell bathroom;sewer gas safety</t>
  </si>
  <si>
    <t xml:space="preserve">Trap drying, P-trap, vent issues. Health/safety angle.</t>
  </si>
  <si>
    <t xml:space="preserve">T010</t>
  </si>
  <si>
    <t xml:space="preserve">Why DIY drain cleaners destroy your pipes (and what to use instead)</t>
  </si>
  <si>
    <t xml:space="preserve">drain-cleaner-damage-pipes</t>
  </si>
  <si>
    <t xml:space="preserve">drain cleaner damage</t>
  </si>
  <si>
    <t xml:space="preserve">best drain cleaner Australia;safe drain unblocker</t>
  </si>
  <si>
    <t xml:space="preserve">The chemistry, the long-term cost, safer alternatives.</t>
  </si>
  <si>
    <t xml:space="preserve">T011</t>
  </si>
  <si>
    <t xml:space="preserve">HVAC &amp; climate</t>
  </si>
  <si>
    <t xml:space="preserve">Ducted air conditioning in Sydney: what it actually costs to run</t>
  </si>
  <si>
    <t xml:space="preserve">ducted-aircon-running-cost-sydney</t>
  </si>
  <si>
    <t xml:space="preserve">ducted air conditioning cost</t>
  </si>
  <si>
    <t xml:space="preserve">ducted aircon running cost;Sydney aircon power bill</t>
  </si>
  <si>
    <t xml:space="preserve">Real AUD numbers per hour, per summer. Comparison to split systems.</t>
  </si>
  <si>
    <t xml:space="preserve">T012</t>
  </si>
  <si>
    <t xml:space="preserve">Why your aircon isn't cooling: 8 things to check before calling</t>
  </si>
  <si>
    <t xml:space="preserve">aircon-not-cooling-troubleshooting</t>
  </si>
  <si>
    <t xml:space="preserve">aircon not cooling</t>
  </si>
  <si>
    <t xml:space="preserve">split system not cooling;ducted aircon weak airflow</t>
  </si>
  <si>
    <t xml:space="preserve">Filter, thermostat, refrigerant signs, condenser. Decision tree.</t>
  </si>
  <si>
    <t xml:space="preserve">T013</t>
  </si>
  <si>
    <t xml:space="preserve">Split system vs ducted: which one makes sense for your home</t>
  </si>
  <si>
    <t xml:space="preserve">split-vs-ducted-aircon</t>
  </si>
  <si>
    <t xml:space="preserve">split system vs ducted</t>
  </si>
  <si>
    <t xml:space="preserve">ducted vs split aircon Australia</t>
  </si>
  <si>
    <t xml:space="preserve">Honest cost+comfort comparison by home size. Sydney climate-specific.</t>
  </si>
  <si>
    <t xml:space="preserve">T014</t>
  </si>
  <si>
    <t xml:space="preserve">How often should you service your aircon in Australia?</t>
  </si>
  <si>
    <t xml:space="preserve">aircon-service-frequency-australia</t>
  </si>
  <si>
    <t xml:space="preserve">aircon service frequency</t>
  </si>
  <si>
    <t xml:space="preserve">annual aircon service Sydney;split system maintenance</t>
  </si>
  <si>
    <t xml:space="preserve">Industry standard, why bi-annual is overkill for most. Cost vs benefit.</t>
  </si>
  <si>
    <t xml:space="preserve">T015</t>
  </si>
  <si>
    <t xml:space="preserve">Reverse cycle vs gas heating: the real running costs</t>
  </si>
  <si>
    <t xml:space="preserve">reverse-cycle-vs-gas-heating</t>
  </si>
  <si>
    <t xml:space="preserve">reverse cycle vs gas heating</t>
  </si>
  <si>
    <t xml:space="preserve">cheapest heating Australia;Sydney winter heating costs</t>
  </si>
  <si>
    <t xml:space="preserve">Running cost math at current 2026 energy prices. Carbon footprint.</t>
  </si>
  <si>
    <t xml:space="preserve">T016</t>
  </si>
  <si>
    <t xml:space="preserve">lifestyle</t>
  </si>
  <si>
    <t xml:space="preserve">Indoor air quality and sleep: what every parent should check</t>
  </si>
  <si>
    <t xml:space="preserve">indoor-air-quality-sleep</t>
  </si>
  <si>
    <t xml:space="preserve">indoor air quality home</t>
  </si>
  <si>
    <t xml:space="preserve">air quality and sleep;HEPA filter home;Sydney indoor air</t>
  </si>
  <si>
    <t xml:space="preserve">The home-ops angle on wellness. Mould, dust, ventilation, sleep quality.</t>
  </si>
  <si>
    <t xml:space="preserve">T017</t>
  </si>
  <si>
    <t xml:space="preserve">Why your HVAC filter is the most overlooked part of your home</t>
  </si>
  <si>
    <t xml:space="preserve">hvac-filter-importance</t>
  </si>
  <si>
    <t xml:space="preserve">HVAC filter replacement</t>
  </si>
  <si>
    <t xml:space="preserve">aircon filter cleaning;split system filter how often</t>
  </si>
  <si>
    <t xml:space="preserve">Why ignoring it costs more in efficiency than the filter itself.</t>
  </si>
  <si>
    <t xml:space="preserve">T018</t>
  </si>
  <si>
    <t xml:space="preserve">Insulation in older Sydney homes: when it's worth upgrading</t>
  </si>
  <si>
    <t xml:space="preserve">insulation-older-sydney-homes</t>
  </si>
  <si>
    <t xml:space="preserve">ceiling insulation Sydney</t>
  </si>
  <si>
    <t xml:space="preserve">home insulation cost Australia;R-value Australia</t>
  </si>
  <si>
    <t xml:space="preserve">ROI math, when to bother, federal/state rebates.</t>
  </si>
  <si>
    <t xml:space="preserve">T019</t>
  </si>
  <si>
    <t xml:space="preserve">seasonal</t>
  </si>
  <si>
    <t xml:space="preserve">How to prepare your aircon for a Sydney summer</t>
  </si>
  <si>
    <t xml:space="preserve">prepare-aircon-summer-sydney</t>
  </si>
  <si>
    <t xml:space="preserve">summer aircon checklist</t>
  </si>
  <si>
    <t xml:space="preserve">aircon pre-summer service;air conditioning summer prep</t>
  </si>
  <si>
    <t xml:space="preserve">30-minute pre-season checklist. Filter, coils, drainage, thermostat test.</t>
  </si>
  <si>
    <t xml:space="preserve">T020</t>
  </si>
  <si>
    <t xml:space="preserve">Mould on aircon vents: what it means and what to do</t>
  </si>
  <si>
    <t xml:space="preserve">mould-on-aircon-vents</t>
  </si>
  <si>
    <t xml:space="preserve">mould on aircon vents</t>
  </si>
  <si>
    <t xml:space="preserve">black mould air vent;aircon mould health</t>
  </si>
  <si>
    <t xml:space="preserve">Health risk, why it happens (humidity + dust), professional clean vs DIY.</t>
  </si>
  <si>
    <t xml:space="preserve">T021</t>
  </si>
  <si>
    <t xml:space="preserve">Pool &amp; outdoors</t>
  </si>
  <si>
    <t xml:space="preserve">The true cost of owning a pool in Sydney</t>
  </si>
  <si>
    <t xml:space="preserve">true-cost-of-pool-sydney</t>
  </si>
  <si>
    <t xml:space="preserve">pool maintenance cost Sydney</t>
  </si>
  <si>
    <t xml:space="preserve">Sydney pool running cost;pool ownership AUD</t>
  </si>
  <si>
    <t xml:space="preserve">Annual breakdown: chemicals, electricity, repairs, insurance. The 'iceberg' homeowners miss.</t>
  </si>
  <si>
    <t xml:space="preserve">T022</t>
  </si>
  <si>
    <t xml:space="preserve">Pool pump making noise? Diagnose before replacing</t>
  </si>
  <si>
    <t xml:space="preserve">pool-pump-noise-diagnose</t>
  </si>
  <si>
    <t xml:space="preserve">pool pump noisy</t>
  </si>
  <si>
    <t xml:space="preserve">pool pump grinding;pool pump bearing replacement</t>
  </si>
  <si>
    <t xml:space="preserve">Bearings vs cavitation vs impeller. When to repair, when to replace.</t>
  </si>
  <si>
    <t xml:space="preserve">T023</t>
  </si>
  <si>
    <t xml:space="preserve">Weekly pool maintenance checklist (what most owners skip)</t>
  </si>
  <si>
    <t xml:space="preserve">weekly-pool-maintenance-checklist</t>
  </si>
  <si>
    <t xml:space="preserve">weekly pool maintenance</t>
  </si>
  <si>
    <t xml:space="preserve">pool care checklist Australia;pool chemical balance weekly</t>
  </si>
  <si>
    <t xml:space="preserve">20-minute weekly routine. Skim, brush, test, top up. Photos.</t>
  </si>
  <si>
    <t xml:space="preserve">T024</t>
  </si>
  <si>
    <t xml:space="preserve">Why your pool keeps going green (and the fix that lasts)</t>
  </si>
  <si>
    <t xml:space="preserve">pool-going-green-fix</t>
  </si>
  <si>
    <t xml:space="preserve">pool going green</t>
  </si>
  <si>
    <t xml:space="preserve">green pool clear up;pool algae treatment Australia</t>
  </si>
  <si>
    <t xml:space="preserve">Algae types, real causes (not just 'add chlorine'), 4-day recovery plan.</t>
  </si>
  <si>
    <t xml:space="preserve">T025</t>
  </si>
  <si>
    <t xml:space="preserve">Lawn care in Sydney: month-by-month</t>
  </si>
  <si>
    <t xml:space="preserve">lawn-care-sydney-monthly</t>
  </si>
  <si>
    <t xml:space="preserve">lawn care Sydney</t>
  </si>
  <si>
    <t xml:space="preserve">Sydney lawn maintenance;buffalo grass care Australia</t>
  </si>
  <si>
    <t xml:space="preserve">Calendar-based guide. Buffalo, kikuyu, couch — what each needs and when.</t>
  </si>
  <si>
    <t xml:space="preserve">T026</t>
  </si>
  <si>
    <t xml:space="preserve">Gutter cleaning: when it's worth doing yourself</t>
  </si>
  <si>
    <t xml:space="preserve">gutter-cleaning-DIY-or-pro</t>
  </si>
  <si>
    <t xml:space="preserve">gutter cleaning Sydney</t>
  </si>
  <si>
    <t xml:space="preserve">DIY gutter cleaning safety;gutter clean cost AUD</t>
  </si>
  <si>
    <t xml:space="preserve">Honest assessment by roof type and height. Safety, time, real cost comparison.</t>
  </si>
  <si>
    <t xml:space="preserve">T027</t>
  </si>
  <si>
    <t xml:space="preserve">How to prep your pool for summer (and winter)</t>
  </si>
  <si>
    <t xml:space="preserve">pool-prep-summer-winter</t>
  </si>
  <si>
    <t xml:space="preserve">pool opening Australia</t>
  </si>
  <si>
    <t xml:space="preserve">winter pool prep;pool covers when to use</t>
  </si>
  <si>
    <t xml:space="preserve">Two seasonal checklists in one piece. AU climate-specific.</t>
  </si>
  <si>
    <t xml:space="preserve">T028</t>
  </si>
  <si>
    <t xml:space="preserve">Pool cover vs solar blanket: which one you actually need</t>
  </si>
  <si>
    <t xml:space="preserve">pool-cover-vs-solar-blanket</t>
  </si>
  <si>
    <t xml:space="preserve">pool cover vs solar blanket</t>
  </si>
  <si>
    <t xml:space="preserve">solar pool blanket Australia;pool cover heat retention</t>
  </si>
  <si>
    <t xml:space="preserve">Cost, function, lifespan. Most owners buy the wrong one.</t>
  </si>
  <si>
    <t xml:space="preserve">T029</t>
  </si>
  <si>
    <t xml:space="preserve">Tree roots in your drain: the hidden cost of beautiful gardens</t>
  </si>
  <si>
    <t xml:space="preserve">tree-roots-in-drain</t>
  </si>
  <si>
    <t xml:space="preserve">tree roots in drain</t>
  </si>
  <si>
    <t xml:space="preserve">tree root drain damage;Sydney sewer line trees</t>
  </si>
  <si>
    <t xml:space="preserve">Why most insurance won't cover it. Prevention + early detection.</t>
  </si>
  <si>
    <t xml:space="preserve">T030</t>
  </si>
  <si>
    <t xml:space="preserve">Termite checks for Sydney homes: how often is enough</t>
  </si>
  <si>
    <t xml:space="preserve">termite-checks-sydney</t>
  </si>
  <si>
    <t xml:space="preserve">termite inspection Sydney</t>
  </si>
  <si>
    <t xml:space="preserve">Sydney termite risk;annual termite inspection cost</t>
  </si>
  <si>
    <t xml:space="preserve">Risk by suburb, inspection frequency by home age + materials.</t>
  </si>
  <si>
    <t xml:space="preserve">T031</t>
  </si>
  <si>
    <t xml:space="preserve">Electrical safety &amp; efficiency</t>
  </si>
  <si>
    <t xml:space="preserve">Why your power keeps tripping (and what's actually happening)</t>
  </si>
  <si>
    <t xml:space="preserve">power-keeps-tripping</t>
  </si>
  <si>
    <t xml:space="preserve">circuit breaker keeps tripping</t>
  </si>
  <si>
    <t xml:space="preserve">RCD keeps tripping Australia;safety switch trips</t>
  </si>
  <si>
    <t xml:space="preserve">Decision tree: which switch, when. When you have a real problem vs a quirk.</t>
  </si>
  <si>
    <t xml:space="preserve">T032</t>
  </si>
  <si>
    <t xml:space="preserve">How to find a licensed electrician in Sydney without getting burned</t>
  </si>
  <si>
    <t xml:space="preserve">find-licensed-electrician-sydney</t>
  </si>
  <si>
    <t xml:space="preserve">licensed electrician Sydney</t>
  </si>
  <si>
    <t xml:space="preserve">how to verify electrician licence NSW;hiring electrician questions</t>
  </si>
  <si>
    <t xml:space="preserve">Fair Trading lookup, questions to ask, red flags. Conversion-heavy.</t>
  </si>
  <si>
    <t xml:space="preserve">T033</t>
  </si>
  <si>
    <t xml:space="preserve">The real cost of installing solar in Sydney 2026</t>
  </si>
  <si>
    <t xml:space="preserve">solar-installation-cost-sydney-2026</t>
  </si>
  <si>
    <t xml:space="preserve">solar panels Sydney cost</t>
  </si>
  <si>
    <t xml:space="preserve">solar installation cost Sydney;rooftop solar 2026 AUD</t>
  </si>
  <si>
    <t xml:space="preserve">Current pricing, federal STCs, NSW rebate status, payback period.</t>
  </si>
  <si>
    <t xml:space="preserve">T034</t>
  </si>
  <si>
    <t xml:space="preserve">Old wiring in Australian homes: when it's actually dangerous</t>
  </si>
  <si>
    <t xml:space="preserve">old-wiring-australian-homes</t>
  </si>
  <si>
    <t xml:space="preserve">old wiring Australia danger</t>
  </si>
  <si>
    <t xml:space="preserve">rewire house cost Australia;asbestos wiring Australia</t>
  </si>
  <si>
    <t xml:space="preserve">Pre-1970s, VIR cable, knob+tube. When to act, when to monitor.</t>
  </si>
  <si>
    <t xml:space="preserve">T035</t>
  </si>
  <si>
    <t xml:space="preserve">LED upgrades: how much you really save on the power bill</t>
  </si>
  <si>
    <t xml:space="preserve">LED-upgrade-power-bill-savings</t>
  </si>
  <si>
    <t xml:space="preserve">LED bulb savings Australia</t>
  </si>
  <si>
    <t xml:space="preserve">LED vs halogen savings;whole house LED upgrade cost</t>
  </si>
  <si>
    <t xml:space="preserve">Math by room, payback in months. The 'switch one room first' approach.</t>
  </si>
  <si>
    <t xml:space="preserve">T036</t>
  </si>
  <si>
    <t xml:space="preserve">Smart home in Sydney: where to start without overspending</t>
  </si>
  <si>
    <t xml:space="preserve">smart-home-sydney-start-cheap</t>
  </si>
  <si>
    <t xml:space="preserve">smart home setup Australia</t>
  </si>
  <si>
    <t xml:space="preserve">Google Home Sydney setup;Apple HomeKit Australia</t>
  </si>
  <si>
    <t xml:space="preserve">Sensible entry points: lighting, climate, security. Avoid the $5K rabbit hole.</t>
  </si>
  <si>
    <t xml:space="preserve">T037</t>
  </si>
  <si>
    <t xml:space="preserve">EV charger installation at home: the homeowner's guide</t>
  </si>
  <si>
    <t xml:space="preserve">ev-charger-home-installation</t>
  </si>
  <si>
    <t xml:space="preserve">EV charger home installation</t>
  </si>
  <si>
    <t xml:space="preserve">home EV charger Sydney cost;Tesla Wall Connector Australia</t>
  </si>
  <si>
    <t xml:space="preserve">7kW vs 22kW, switchboard upgrade reality, NSW EV rebates.</t>
  </si>
  <si>
    <t xml:space="preserve">T038</t>
  </si>
  <si>
    <t xml:space="preserve">Safety switches and RCDs: what every Sydney home needs</t>
  </si>
  <si>
    <t xml:space="preserve">safety-switches-rcds-sydney</t>
  </si>
  <si>
    <t xml:space="preserve">safety switch home requirements NSW</t>
  </si>
  <si>
    <t xml:space="preserve">RCD installation Australia;test safety switch monthly</t>
  </si>
  <si>
    <t xml:space="preserve">What's mandatory, what's smart, monthly test routine.</t>
  </si>
  <si>
    <t xml:space="preserve">T039</t>
  </si>
  <si>
    <t xml:space="preserve">Why your electricity bill jumped (a real homeowner's diagnostic)</t>
  </si>
  <si>
    <t xml:space="preserve">electricity-bill-jumped-diagnostic</t>
  </si>
  <si>
    <t xml:space="preserve">electricity bill suddenly high</t>
  </si>
  <si>
    <t xml:space="preserve">high power bill troubleshooting Australia;phantom power Sydney</t>
  </si>
  <si>
    <t xml:space="preserve">Step-by-step audit. Hot water, aircon, appliance leakage, plan changes.</t>
  </si>
  <si>
    <t xml:space="preserve">T040</t>
  </si>
  <si>
    <t xml:space="preserve">When to call an electrician vs a handyman (legal limits in NSW)</t>
  </si>
  <si>
    <t xml:space="preserve">electrician-vs-handyman-nsw</t>
  </si>
  <si>
    <t xml:space="preserve">electrician vs handyman</t>
  </si>
  <si>
    <t xml:space="preserve">what can a handyman do NSW;DIY electrical NSW illegal</t>
  </si>
  <si>
    <t xml:space="preserve">Legal scope, insurance implications, real-world examples.</t>
  </si>
  <si>
    <t xml:space="preserve">T041</t>
  </si>
  <si>
    <t xml:space="preserve">Home operations (signature)</t>
  </si>
  <si>
    <t xml:space="preserve">The hidden mental load of running a household</t>
  </si>
  <si>
    <t xml:space="preserve">hidden-mental-load-household</t>
  </si>
  <si>
    <t xml:space="preserve">mental load household management</t>
  </si>
  <si>
    <t xml:space="preserve">household mental load;cognitive labour home</t>
  </si>
  <si>
    <t xml:space="preserve">Signature thought piece. Defines the brand. The invisible work, why it falls unevenly, how to externalise it.</t>
  </si>
  <si>
    <t xml:space="preserve">T042</t>
  </si>
  <si>
    <t xml:space="preserve">Home systems for high-performing families</t>
  </si>
  <si>
    <t xml:space="preserve">home-systems-high-performing-families</t>
  </si>
  <si>
    <t xml:space="preserve">household management system</t>
  </si>
  <si>
    <t xml:space="preserve">family home systems;running a household efficiently</t>
  </si>
  <si>
    <t xml:space="preserve">Routines, vendors, calendars, finances. The ops playbook for busy families.</t>
  </si>
  <si>
    <t xml:space="preserve">T043</t>
  </si>
  <si>
    <t xml:space="preserve">The real cost of poor home maintenance in Sydney</t>
  </si>
  <si>
    <t xml:space="preserve">real-cost-poor-home-maintenance</t>
  </si>
  <si>
    <t xml:space="preserve">home maintenance cost Australia</t>
  </si>
  <si>
    <t xml:space="preserve">deferred maintenance cost;property value decline maintenance</t>
  </si>
  <si>
    <t xml:space="preserve">How $50 problems become $5,000 problems. Real Sydney examples.</t>
  </si>
  <si>
    <t xml:space="preserve">T044</t>
  </si>
  <si>
    <t xml:space="preserve">What homeowners forget before winter</t>
  </si>
  <si>
    <t xml:space="preserve">what-homeowners-forget-before-winter</t>
  </si>
  <si>
    <t xml:space="preserve">winter home preparation</t>
  </si>
  <si>
    <t xml:space="preserve">winter home checklist Sydney;winterise house Australia</t>
  </si>
  <si>
    <t xml:space="preserve">The 12 items that matter. Heating, gutters, mould prevention, plumbing.</t>
  </si>
  <si>
    <t xml:space="preserve">T045</t>
  </si>
  <si>
    <t xml:space="preserve">How busy professionals manage their homes</t>
  </si>
  <si>
    <t xml:space="preserve">how-busy-professionals-manage-homes</t>
  </si>
  <si>
    <t xml:space="preserve">managing home busy professional</t>
  </si>
  <si>
    <t xml:space="preserve">concierge home management Sydney;outsourcing household tasks</t>
  </si>
  <si>
    <t xml:space="preserve">Day-in-the-life of a Sarah persona who has it figured out. Subtle Wenest pitch.</t>
  </si>
  <si>
    <t xml:space="preserve">T046</t>
  </si>
  <si>
    <t xml:space="preserve">The difference between a handyman and a home manager</t>
  </si>
  <si>
    <t xml:space="preserve">handyman-vs-home-manager</t>
  </si>
  <si>
    <t xml:space="preserve">home manager vs handyman</t>
  </si>
  <si>
    <t xml:space="preserve">what is home management;property concierge Australia</t>
  </si>
  <si>
    <t xml:space="preserve">Defines our category. Critical for SEO around 'home concierge Sydney'.</t>
  </si>
  <si>
    <t xml:space="preserve">T047</t>
  </si>
  <si>
    <t xml:space="preserve">Moving house without chaos: a Sydney family's playbook</t>
  </si>
  <si>
    <t xml:space="preserve">moving-house-without-chaos</t>
  </si>
  <si>
    <t xml:space="preserve">moving house checklist Sydney</t>
  </si>
  <si>
    <t xml:space="preserve">moving house Sydney tips;family relocation checklist</t>
  </si>
  <si>
    <t xml:space="preserve">8-week countdown checklist. Sydney-specific (strata, Service NSW, schools).</t>
  </si>
  <si>
    <t xml:space="preserve">T048</t>
  </si>
  <si>
    <t xml:space="preserve">Seasonal home checklists that actually work</t>
  </si>
  <si>
    <t xml:space="preserve">seasonal-home-checklists</t>
  </si>
  <si>
    <t xml:space="preserve">seasonal home maintenance checklist</t>
  </si>
  <si>
    <t xml:space="preserve">spring summer autumn winter home checklist Australia</t>
  </si>
  <si>
    <t xml:space="preserve">Pillar piece linking to all 4 seasonal sub-articles.</t>
  </si>
  <si>
    <t xml:space="preserve">T049</t>
  </si>
  <si>
    <t xml:space="preserve">Why your house feels overwhelming (and three systems that fix it)</t>
  </si>
  <si>
    <t xml:space="preserve">house-feels-overwhelming-systems</t>
  </si>
  <si>
    <t xml:space="preserve">home overwhelm management</t>
  </si>
  <si>
    <t xml:space="preserve">household overwhelm;decluttering decision fatigue</t>
  </si>
  <si>
    <t xml:space="preserve">Decision-fatigue lens. The 3-system fix: maintenance calendar, vendor list, house manual.</t>
  </si>
  <si>
    <t xml:space="preserve">T050</t>
  </si>
  <si>
    <t xml:space="preserve">What 100 home callouts taught us about Sydney homeowners</t>
  </si>
  <si>
    <t xml:space="preserve">100-callouts-lessons-sydney</t>
  </si>
  <si>
    <t xml:space="preserve">Sydney home maintenance trends</t>
  </si>
  <si>
    <t xml:space="preserve">common home problems Sydney;home repair patterns Australia</t>
  </si>
  <si>
    <t xml:space="preserve">Internal-data piece (will be filled with real Wenest data once available).</t>
  </si>
  <si>
    <t xml:space="preserve">T051</t>
  </si>
  <si>
    <t xml:space="preserve">Hiring &amp; vetting tradies</t>
  </si>
  <si>
    <t xml:space="preserve">Tradie red flags every Australian should know</t>
  </si>
  <si>
    <t xml:space="preserve">tradie-red-flags-australia</t>
  </si>
  <si>
    <t xml:space="preserve">tradie red flags</t>
  </si>
  <si>
    <t xml:space="preserve">warning signs bad tradesman;dodgy tradie Australia</t>
  </si>
  <si>
    <t xml:space="preserve">Top conversion piece. The 12 red flags from 100+ jobs.</t>
  </si>
  <si>
    <t xml:space="preserve">T052</t>
  </si>
  <si>
    <t xml:space="preserve">The 10 questions to ask before hiring a cleaner</t>
  </si>
  <si>
    <t xml:space="preserve">questions-before-hiring-cleaner</t>
  </si>
  <si>
    <t xml:space="preserve">hiring a cleaner questions</t>
  </si>
  <si>
    <t xml:space="preserve">questions to ask cleaner;cleaner interview questions Australia</t>
  </si>
  <si>
    <t xml:space="preserve">Builds trust, even though Wenest tier 1 isn't cleaning yet — sets up the eventual move.</t>
  </si>
  <si>
    <t xml:space="preserve">T053</t>
  </si>
  <si>
    <t xml:space="preserve">How to read a quote: the line items that matter</t>
  </si>
  <si>
    <t xml:space="preserve">how-to-read-tradie-quote</t>
  </si>
  <si>
    <t xml:space="preserve">tradie quote review</t>
  </si>
  <si>
    <t xml:space="preserve">understanding builder quote;hidden costs quote</t>
  </si>
  <si>
    <t xml:space="preserve">Materials, labour, callout, GST. What to push back on.</t>
  </si>
  <si>
    <t xml:space="preserve">T054</t>
  </si>
  <si>
    <t xml:space="preserve">Why "cheapest quote" usually costs you double</t>
  </si>
  <si>
    <t xml:space="preserve">cheapest-quote-costs-double</t>
  </si>
  <si>
    <t xml:space="preserve">cheap tradesperson risk</t>
  </si>
  <si>
    <t xml:space="preserve">lowest quote tradie problem;why hire expensive tradesperson</t>
  </si>
  <si>
    <t xml:space="preserve">The lemon effect in trades. Real examples (anonymised).</t>
  </si>
  <si>
    <t xml:space="preserve">T055</t>
  </si>
  <si>
    <t xml:space="preserve">Licensing in NSW: the trades that legally need it</t>
  </si>
  <si>
    <t xml:space="preserve">licensing-nsw-trades</t>
  </si>
  <si>
    <t xml:space="preserve">NSW trade licensing</t>
  </si>
  <si>
    <t xml:space="preserve">NSW trades licensing requirements;Fair Trading licence check</t>
  </si>
  <si>
    <t xml:space="preserve">Plumbing, electrical, gas, refrigeration. How to verify.</t>
  </si>
  <si>
    <t xml:space="preserve">T056</t>
  </si>
  <si>
    <t xml:space="preserve">What a real tradie's invoice should look like</t>
  </si>
  <si>
    <t xml:space="preserve">real-tradie-invoice-look-like</t>
  </si>
  <si>
    <t xml:space="preserve">tradie invoice requirements Australia</t>
  </si>
  <si>
    <t xml:space="preserve">ABN on invoice tradie;GST invoice Australia</t>
  </si>
  <si>
    <t xml:space="preserve">ABN, ITC, line items, GST. What's mandatory vs polite.</t>
  </si>
  <si>
    <t xml:space="preserve">T057</t>
  </si>
  <si>
    <t xml:space="preserve">How to handle a job gone wrong (without losing money)</t>
  </si>
  <si>
    <t xml:space="preserve">job-gone-wrong-recourse</t>
  </si>
  <si>
    <t xml:space="preserve">tradie dispute Australia</t>
  </si>
  <si>
    <t xml:space="preserve">Fair Trading complaint NSW;tradesman dispute resolution</t>
  </si>
  <si>
    <t xml:space="preserve">Conversation script, paper trail, escalation path through Fair Trading.</t>
  </si>
  <si>
    <t xml:space="preserve">T058</t>
  </si>
  <si>
    <t xml:space="preserve">Reviews vs reputation: where to actually look</t>
  </si>
  <si>
    <t xml:space="preserve">reviews-vs-reputation-tradies</t>
  </si>
  <si>
    <t xml:space="preserve">best place reviews tradesperson</t>
  </si>
  <si>
    <t xml:space="preserve">Hipages reviews real;Google reviews tradesman trust</t>
  </si>
  <si>
    <t xml:space="preserve">The case for word of mouth + the case for verifying it. Reviews are gameable.</t>
  </si>
  <si>
    <t xml:space="preserve">T059</t>
  </si>
  <si>
    <t xml:space="preserve">Why your neighbours can't recommend a good plumber anymore</t>
  </si>
  <si>
    <t xml:space="preserve">neighbours-cant-recommend-plumber</t>
  </si>
  <si>
    <t xml:space="preserve">find plumber recommendation Sydney</t>
  </si>
  <si>
    <t xml:space="preserve">word of mouth tradie Sydney decline</t>
  </si>
  <si>
    <t xml:space="preserve">The thesis behind Wenest. Why community vetting broke and what replaces it.</t>
  </si>
  <si>
    <t xml:space="preserve">T060</t>
  </si>
  <si>
    <t xml:space="preserve">The Wenest vetting checklist (what we look for in a provider)</t>
  </si>
  <si>
    <t xml:space="preserve">wenest-vetting-checklist</t>
  </si>
  <si>
    <t xml:space="preserve">vetting tradesperson checklist</t>
  </si>
  <si>
    <t xml:space="preserve">how to vet a contractor;tradie quality assessment</t>
  </si>
  <si>
    <t xml:space="preserve">Our actual internal scorecard. Trust-builder + lead magnet.</t>
  </si>
  <si>
    <t xml:space="preserve">T061</t>
  </si>
  <si>
    <t xml:space="preserve">Seasonal checklists</t>
  </si>
  <si>
    <t xml:space="preserve">Spring cleaning checklist Sydney (10 things most people miss)</t>
  </si>
  <si>
    <t xml:space="preserve">spring-cleaning-checklist-sydney</t>
  </si>
  <si>
    <t xml:space="preserve">spring cleaning checklist Sydney</t>
  </si>
  <si>
    <t xml:space="preserve">spring clean Australia checklist;deep clean home spring</t>
  </si>
  <si>
    <t xml:space="preserve">Specific to Sydney spring (Sept-Nov). 10 items beyond the obvious.</t>
  </si>
  <si>
    <t xml:space="preserve">T062</t>
  </si>
  <si>
    <t xml:space="preserve">Pool prep for summer: 5-step pre-season routine</t>
  </si>
  <si>
    <t xml:space="preserve">pool-prep-summer-routine</t>
  </si>
  <si>
    <t xml:space="preserve">pool pre-season checklist</t>
  </si>
  <si>
    <t xml:space="preserve">open pool for summer Australia;pool start up steps</t>
  </si>
  <si>
    <t xml:space="preserve">Step-by-step. Cover removal, equipment check, chemical balance, cleaning.</t>
  </si>
  <si>
    <t xml:space="preserve">T063</t>
  </si>
  <si>
    <t xml:space="preserve">Winter-proofing a Sydney home (it's not what you think)</t>
  </si>
  <si>
    <t xml:space="preserve">winterproofing-sydney-home</t>
  </si>
  <si>
    <t xml:space="preserve">winter home preparation Sydney</t>
  </si>
  <si>
    <t xml:space="preserve">Sydney winter house tips;cold weather home maintenance Australia</t>
  </si>
  <si>
    <t xml:space="preserve">Sydney's winter is mild but humid — mould, draughts, heating. Different from northern hemisphere.</t>
  </si>
  <si>
    <t xml:space="preserve">T064</t>
  </si>
  <si>
    <t xml:space="preserve">Autumn gutter and roof checks: the 30-minute audit</t>
  </si>
  <si>
    <t xml:space="preserve">autumn-gutter-roof-audit</t>
  </si>
  <si>
    <t xml:space="preserve">autumn gutter cleaning</t>
  </si>
  <si>
    <t xml:space="preserve">autumn home checklist;roof inspection autumn Sydney</t>
  </si>
  <si>
    <t xml:space="preserve">Pre-rain prep. Photos of what to look for.</t>
  </si>
  <si>
    <t xml:space="preserve">T065</t>
  </si>
  <si>
    <t xml:space="preserve">Christmas housework: the realistic 3-day plan</t>
  </si>
  <si>
    <t xml:space="preserve">christmas-housework-3-day-plan</t>
  </si>
  <si>
    <t xml:space="preserve">Christmas cleaning schedule</t>
  </si>
  <si>
    <t xml:space="preserve">Christmas house preparation Australia;family Christmas hosting checklist</t>
  </si>
  <si>
    <t xml:space="preserve">Hosting prep that doesn't ruin your holiday. Day-by-day.</t>
  </si>
  <si>
    <t xml:space="preserve">T066</t>
  </si>
  <si>
    <t xml:space="preserve">After-the-holidays home reset: the post-Boxing Day routine</t>
  </si>
  <si>
    <t xml:space="preserve">post-boxing-day-home-reset</t>
  </si>
  <si>
    <t xml:space="preserve">post-Christmas home reset</t>
  </si>
  <si>
    <t xml:space="preserve">decluttering after Christmas;January house reset Australia</t>
  </si>
  <si>
    <t xml:space="preserve">Decluttering, returning to normal, planning January maintenance.</t>
  </si>
  <si>
    <t xml:space="preserve">T067</t>
  </si>
  <si>
    <t xml:space="preserve">Pre-Easter deep clean: kitchens, bathrooms, fabrics</t>
  </si>
  <si>
    <t xml:space="preserve">pre-easter-deep-clean</t>
  </si>
  <si>
    <t xml:space="preserve">Easter cleaning Australia</t>
  </si>
  <si>
    <t xml:space="preserve">autumn deep clean Australia;Easter house preparation</t>
  </si>
  <si>
    <t xml:space="preserve">Long weekend = perfect time for deeper jobs. Realistic plan.</t>
  </si>
  <si>
    <t xml:space="preserve">T068</t>
  </si>
  <si>
    <t xml:space="preserve">End-of-financial-year home maintenance you can claim</t>
  </si>
  <si>
    <t xml:space="preserve">eofy-home-maintenance-claim</t>
  </si>
  <si>
    <t xml:space="preserve">EOFY home claim Australia</t>
  </si>
  <si>
    <t xml:space="preserve">tax deductible home repairs investment property;rental property EOFY checklist</t>
  </si>
  <si>
    <t xml:space="preserve">For investment property owners. ATO-compliant. Disclaimer for accountant.</t>
  </si>
  <si>
    <t xml:space="preserve">T069</t>
  </si>
  <si>
    <t xml:space="preserve">Bushfire season prep for Sydney homeowners</t>
  </si>
  <si>
    <t xml:space="preserve">bushfire-season-prep-sydney</t>
  </si>
  <si>
    <t xml:space="preserve">bushfire preparation home Sydney</t>
  </si>
  <si>
    <t xml:space="preserve">bushfire home preparation;ember attack prevention</t>
  </si>
  <si>
    <t xml:space="preserve">RFS-aligned. Outer suburbs especially. Annual checklist.</t>
  </si>
  <si>
    <t xml:space="preserve">T070</t>
  </si>
  <si>
    <t xml:space="preserve">La Niña vs El Niño: how Sydney homes prepare differently</t>
  </si>
  <si>
    <t xml:space="preserve">la-nina-el-nino-sydney-homes</t>
  </si>
  <si>
    <t xml:space="preserve">La Nina El Nino home preparation</t>
  </si>
  <si>
    <t xml:space="preserve">Sydney rainfall home;dry season home Australia</t>
  </si>
  <si>
    <t xml:space="preserve">Climate-cycle awareness. Different prep for wet vs dry years.</t>
  </si>
  <si>
    <t xml:space="preserve">T071</t>
  </si>
  <si>
    <t xml:space="preserve">Common problems &amp; cleaning</t>
  </si>
  <si>
    <t xml:space="preserve">Why your dishwasher smells (and how to fix it in 10 minutes)</t>
  </si>
  <si>
    <t xml:space="preserve">dishwasher-smells-fix</t>
  </si>
  <si>
    <t xml:space="preserve">dishwasher smells</t>
  </si>
  <si>
    <t xml:space="preserve">dishwasher smell bad;clean dishwasher Australia</t>
  </si>
  <si>
    <t xml:space="preserve">Filter, seals, drain. Quick win for SEO + trust-build.</t>
  </si>
  <si>
    <t xml:space="preserve">T072</t>
  </si>
  <si>
    <t xml:space="preserve">Removing red wine from grout, carpet, and upholstery</t>
  </si>
  <si>
    <t xml:space="preserve">remove-red-wine-stain</t>
  </si>
  <si>
    <t xml:space="preserve">remove red wine stain</t>
  </si>
  <si>
    <t xml:space="preserve">red wine stain carpet;wine stain grout Australia</t>
  </si>
  <si>
    <t xml:space="preserve">Material-by-material guide. Time-sensitive (act in 10 min).</t>
  </si>
  <si>
    <t xml:space="preserve">T073</t>
  </si>
  <si>
    <t xml:space="preserve">Stainless steel sink looks dull? Three fixes that work</t>
  </si>
  <si>
    <t xml:space="preserve">stainless-steel-sink-dull-fix</t>
  </si>
  <si>
    <t xml:space="preserve">stainless steel sink dull</t>
  </si>
  <si>
    <t xml:space="preserve">polish stainless steel sink;water spots on sink</t>
  </si>
  <si>
    <t xml:space="preserve">Vinegar, baking soda, food-grade oil. Photos before/after.</t>
  </si>
  <si>
    <t xml:space="preserve">T074</t>
  </si>
  <si>
    <t xml:space="preserve">How to deep clean an oven (without toxic chemicals)</t>
  </si>
  <si>
    <t xml:space="preserve">deep-clean-oven-no-chemicals</t>
  </si>
  <si>
    <t xml:space="preserve">deep clean oven naturally</t>
  </si>
  <si>
    <t xml:space="preserve">natural oven cleaner;oven cleaning baking soda</t>
  </si>
  <si>
    <t xml:space="preserve">Overnight method. Time + effort estimate. Safety for families.</t>
  </si>
  <si>
    <t xml:space="preserve">T075</t>
  </si>
  <si>
    <t xml:space="preserve">Mould in the bathroom: the systemic fix vs the quick one</t>
  </si>
  <si>
    <t xml:space="preserve">bathroom-mould-systemic-fix</t>
  </si>
  <si>
    <t xml:space="preserve">bathroom mould Australia</t>
  </si>
  <si>
    <t xml:space="preserve">remove bathroom mould permanently;ventilation fan bathroom</t>
  </si>
  <si>
    <t xml:space="preserve">Why bleach alone fails. Ventilation, surface, root cause.</t>
  </si>
  <si>
    <t xml:space="preserve">T076</t>
  </si>
  <si>
    <t xml:space="preserve">Removing pet smells from carpet and fabric properly</t>
  </si>
  <si>
    <t xml:space="preserve">remove-pet-smell-carpet-fabric</t>
  </si>
  <si>
    <t xml:space="preserve">remove pet smell carpet</t>
  </si>
  <si>
    <t xml:space="preserve">dog smell carpet Australia;cat urine carpet</t>
  </si>
  <si>
    <t xml:space="preserve">Enzyme cleaners explained. What store-bought sprays do wrong.</t>
  </si>
  <si>
    <t xml:space="preserve">T077</t>
  </si>
  <si>
    <t xml:space="preserve">Limescale on tapware: why it returns and how to stop it</t>
  </si>
  <si>
    <t xml:space="preserve">limescale-tapware-stop</t>
  </si>
  <si>
    <t xml:space="preserve">remove limescale tap</t>
  </si>
  <si>
    <t xml:space="preserve">hard water Sydney tapware;tap white build up</t>
  </si>
  <si>
    <t xml:space="preserve">Sydney water hardness specific. Vinegar method + prevention.</t>
  </si>
  <si>
    <t xml:space="preserve">T078</t>
  </si>
  <si>
    <t xml:space="preserve">How to clean fabric blinds without damaging them</t>
  </si>
  <si>
    <t xml:space="preserve">clean-fabric-blinds</t>
  </si>
  <si>
    <t xml:space="preserve">clean fabric blinds</t>
  </si>
  <si>
    <t xml:space="preserve">Roman blinds cleaning;fabric Roller blinds clean</t>
  </si>
  <si>
    <t xml:space="preserve">Method by blind type. Avoid spots, damage, distortion.</t>
  </si>
  <si>
    <t xml:space="preserve">T079</t>
  </si>
  <si>
    <t xml:space="preserve">Laundry hacks that actually work (and the ones that ruin clothes)</t>
  </si>
  <si>
    <t xml:space="preserve">laundry-hacks-real</t>
  </si>
  <si>
    <t xml:space="preserve">laundry hacks Australia</t>
  </si>
  <si>
    <t xml:space="preserve">wash white clothes Australia;laundry mistakes ruin clothes</t>
  </si>
  <si>
    <t xml:space="preserve">Honest take. Vinegar yes, dryer sheets sometimes no, baking soda mostly hype.</t>
  </si>
  <si>
    <t xml:space="preserve">T080</t>
  </si>
  <si>
    <t xml:space="preserve">Decluttering and decision fatigue: how to break the loop</t>
  </si>
  <si>
    <t xml:space="preserve">decluttering-decision-fatigue</t>
  </si>
  <si>
    <t xml:space="preserve">decluttering overwhelm</t>
  </si>
  <si>
    <t xml:space="preserve">decluttering decision fatigue;cant declutter where start</t>
  </si>
  <si>
    <t xml:space="preserve">Cognitive-load lens. The 'one drawer, 10 minutes' protocol.</t>
  </si>
  <si>
    <t xml:space="preserve">Cluster summary</t>
  </si>
  <si>
    <t xml:space="preserve">Cluster</t>
  </si>
  <si>
    <t xml:space="preserve">Cluster name</t>
  </si>
  <si>
    <t xml:space="preserve">Topic count</t>
  </si>
  <si>
    <t xml:space="preserve">Total words</t>
  </si>
  <si>
    <t xml:space="preserve">Seed batch count</t>
  </si>
  <si>
    <t xml:space="preserve">TOTAL</t>
  </si>
  <si>
    <t xml:space="preserve">Wenest Blog — Editorial Calendar</t>
  </si>
  <si>
    <t xml:space="preserve">Purpose</t>
  </si>
  <si>
    <t xml:space="preserve">80 SEO topics organised in 8 keyword clusters. This is the queue n8n pulls from when generating articles.</t>
  </si>
  <si>
    <t xml:space="preserve">Cadence</t>
  </si>
  <si>
    <t xml:space="preserve">4 articles per week (Mon/Wed/Fri/Sun, 09:00 AEST). At 4/week we exhaust 80 topics in ~5 months.</t>
  </si>
  <si>
    <t xml:space="preserve">Column reference</t>
  </si>
  <si>
    <t xml:space="preserve">Sequential ID (T001-T080). Stable identifier — never change.</t>
  </si>
  <si>
    <t xml:space="preserve">1-8. The SEO keyword cluster this topic belongs to.</t>
  </si>
  <si>
    <t xml:space="preserve">Human-readable cluster label.</t>
  </si>
  <si>
    <t xml:space="preserve">Maps to CLAUDE.md §4 buckets: home-operations | how-to | problems | transactional | seasonal | lifestyle.</t>
  </si>
  <si>
    <t xml:space="preserve">Proposed article title. Editable — Claude may refine during generation.</t>
  </si>
  <si>
    <t xml:space="preserve">Kebab-case, keyword-led. Becomes the URL path (/blog/[slug]) and filename ([slug].md).</t>
  </si>
  <si>
    <t xml:space="preserve">The single keyword the article must rank for.</t>
  </si>
  <si>
    <t xml:space="preserve">Semicolon-separated. 2-4 keywords used across H2s.</t>
  </si>
  <si>
    <t xml:space="preserve">informational | commercial | transactional. Affects tone and CTA strength.</t>
  </si>
  <si>
    <t xml:space="preserve">Aim ±150 words. Build constraint for Claude.</t>
  </si>
  <si>
    <t xml:space="preserve">1 = seed batch (publish first 15). 2 = phase 2 (next 30). 3 = phase 3 (final 35).</t>
  </si>
  <si>
    <t xml:space="preserve">TRUE if priority=1. Highlighted amber — these are the first 15 articles to generate.</t>
  </si>
  <si>
    <t xml:space="preserve">2-line description. Forms part of the prompt to Claude.</t>
  </si>
  <si>
    <t xml:space="preserve">Lifecycle: queued → drafted → review → approved → published. n8n updates this.</t>
  </si>
  <si>
    <t xml:space="preserve">YYYY-MM-DD. n8n fills when generation succeeds.</t>
  </si>
  <si>
    <t xml:space="preserve">YYYY-MM-DD. Updated when PR is merged.</t>
  </si>
  <si>
    <t xml:space="preserve">Free-text. Manual notes about deviations, results, etc.</t>
  </si>
  <si>
    <t xml:space="preserve">Importing to Airtable</t>
  </si>
  <si>
    <t xml:space="preserve">Step 1</t>
  </si>
  <si>
    <t xml:space="preserve">Save this xlsx, then in Airtable create a new base from spreadsheet. Upload this file.</t>
  </si>
  <si>
    <t xml:space="preserve">Step 2</t>
  </si>
  <si>
    <t xml:space="preserve">Set field types: cluster=Number, target_word_count=Number, priority=Single select (1, 2, 3), seed_batch=Checkbox, status=Single select, date_*=Date, others=Single line / Long text.</t>
  </si>
  <si>
    <t xml:space="preserve">Step 3</t>
  </si>
  <si>
    <t xml:space="preserve">Create a 'Seed batch' view filtered by seed_batch=TRUE, sorted by priority asc.</t>
  </si>
  <si>
    <t xml:space="preserve">Step 4</t>
  </si>
  <si>
    <t xml:space="preserve">Create a 'Queue' view filtered by status='queued', sorted by priority then cluster then topic_id.</t>
  </si>
  <si>
    <t xml:space="preserve">Step 5</t>
  </si>
  <si>
    <t xml:space="preserve">n8n connects via Airtable API key (Account → Developer hub) and the base ID. The 'Queue' view is what n8n reads.</t>
  </si>
  <si>
    <t xml:space="preserve">Cluster strategy</t>
  </si>
  <si>
    <t xml:space="preserve">Cluster 1 — Plumbing fixes</t>
  </si>
  <si>
    <t xml:space="preserve">High search volume, evergreen. The how-to backbone. Anchor: 'blocked drain Sydney'.</t>
  </si>
  <si>
    <t xml:space="preserve">Cluster 2 — HVAC &amp; climate</t>
  </si>
  <si>
    <t xml:space="preserve">Sydney summer + winter angles. Mix of how-to and transactional (cost articles). Anchor: 'ducted aircon Sydney'.</t>
  </si>
  <si>
    <t xml:space="preserve">Cluster 3 — Pool &amp; outdoors</t>
  </si>
  <si>
    <t xml:space="preserve">Premium homeowner signal. Pools, lawns, gutters, termites. Anchor: 'pool maintenance Sydney'.</t>
  </si>
  <si>
    <t xml:space="preserve">Cluster 4 — Electrical safety &amp; efficiency</t>
  </si>
  <si>
    <t xml:space="preserve">Solar, EV chargers, safety switches. Strong commercial intent. Anchor: 'licensed electrician Sydney'.</t>
  </si>
  <si>
    <t xml:space="preserve">Cluster 5 — Home operations (signature)</t>
  </si>
  <si>
    <t xml:space="preserve">Defines the brand. Thought leadership. Lower volume but higher conversion. Anchor: 'managing a household'.</t>
  </si>
  <si>
    <t xml:space="preserve">Cluster 6 — Hiring &amp; vetting tradies</t>
  </si>
  <si>
    <t xml:space="preserve">Most direct conversion to memberships. Anchor: 'find reliable tradesperson'.</t>
  </si>
  <si>
    <t xml:space="preserve">Cluster 7 — Seasonal checklists</t>
  </si>
  <si>
    <t xml:space="preserve">Time-bound traffic spikes. Schedule by season. Anchor: 'seasonal home maintenance Australia'.</t>
  </si>
  <si>
    <t xml:space="preserve">Cluster 8 — Common problems &amp; cleaning</t>
  </si>
  <si>
    <t xml:space="preserve">Quick wins, broad appeal. Lower commercial intent but builds topical authority. Anchor: 'household cleaning problems'.</t>
  </si>
  <si>
    <t xml:space="preserve">Seed batch composition (first 15)</t>
  </si>
  <si>
    <t xml:space="preserve">Selection logic</t>
  </si>
  <si>
    <t xml:space="preserve">15 topics selected across all 8 clusters, weighted toward signature pieces (3 from Cluster 5) and high-conversion (2 from Cluster 6). Goal: prove the pipeline + define brand voice + capture trust-builders early.</t>
  </si>
  <si>
    <t xml:space="preserve">Cluster 1 (plumbing)</t>
  </si>
  <si>
    <t xml:space="preserve">2 topics: T001 (anchor), T002</t>
  </si>
  <si>
    <t xml:space="preserve">Cluster 2 (HVAC)</t>
  </si>
  <si>
    <t xml:space="preserve">2 topics: T011 (anchor), T012</t>
  </si>
  <si>
    <t xml:space="preserve">Cluster 3 (pool)</t>
  </si>
  <si>
    <t xml:space="preserve">1 topic: T021 (anchor)</t>
  </si>
  <si>
    <t xml:space="preserve">Cluster 4 (electrical)</t>
  </si>
  <si>
    <t xml:space="preserve">2 topics: T031, T032</t>
  </si>
  <si>
    <t xml:space="preserve">Cluster 5 (home ops)</t>
  </si>
  <si>
    <t xml:space="preserve">3 topics: T041, T042, T043 (signature pieces)</t>
  </si>
  <si>
    <t xml:space="preserve">Cluster 6 (vetting)</t>
  </si>
  <si>
    <t xml:space="preserve">2 topics: T051, T052</t>
  </si>
  <si>
    <t xml:space="preserve">Cluster 7 (seasonal)</t>
  </si>
  <si>
    <t xml:space="preserve">2 topics: T061, T063 (winter/spring relevant)</t>
  </si>
  <si>
    <t xml:space="preserve">Cluster 8 (problems)</t>
  </si>
  <si>
    <t xml:space="preserve">2 topics: T071, T072</t>
  </si>
  <si>
    <t xml:space="preserve">Editing protocol</t>
  </si>
  <si>
    <t xml:space="preserve">Adding topics</t>
  </si>
  <si>
    <t xml:space="preserve">Append rows. Use next available T### ID. Keep cluster + bucket consistent. Default status='queued', priority=2 or 3.</t>
  </si>
  <si>
    <t xml:space="preserve">Editing existing</t>
  </si>
  <si>
    <t xml:space="preserve">Title, slug, brief, secondary_keywords are safe to edit. Avoid changing topic_id, cluster, primary_keyword once an article is drafted (breaks SEO continuity).</t>
  </si>
  <si>
    <t xml:space="preserve">Killing a topic</t>
  </si>
  <si>
    <t xml:space="preserve">Set status='dropped' instead of deleting — keeps the audit trail. Add reason in notes.</t>
  </si>
  <si>
    <t xml:space="preserve">Review schedule</t>
  </si>
  <si>
    <t xml:space="preserve">Monthly</t>
  </si>
  <si>
    <t xml:space="preserve">Update memory/keyword-performance.md with rankings of published articles.</t>
  </si>
  <si>
    <t xml:space="preserve">Quarterly</t>
  </si>
  <si>
    <t xml:space="preserve">Re-evaluate clusters. Drop topics in priority 3 that are still queued if they no longer fit.</t>
  </si>
  <si>
    <t xml:space="preserve">After 30 articles</t>
  </si>
  <si>
    <t xml:space="preserve">Generate next 80-topic batch using the same cluster framework + new keyword research.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</si>
</sst>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3A4A5E"/>
      <name val="Arial"/>
      <family val="0"/>
      <charset val="1"/>
    </font>
    <font>
      <b val="true"/>
      <sz val="11"/>
      <color rgb="FF0E1B2C"/>
      <name val="Arial"/>
      <family val="0"/>
      <charset val="1"/>
    </font>
    <font>
      <b val="true"/>
      <sz val="18"/>
      <color rgb="FF0E1B2C"/>
      <name val="Arial"/>
      <family val="0"/>
      <charset val="1"/>
    </font>
    <font>
      <b val="true"/>
      <sz val="10"/>
      <color rgb="FF0E1B2C"/>
      <name val="Arial"/>
      <family val="0"/>
      <charset val="1"/>
    </font>
    <font>
      <b val="true"/>
      <sz val="12"/>
      <color rgb="FF1F8A7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1B2C"/>
        <bgColor rgb="FF000000"/>
      </patternFill>
    </fill>
    <fill>
      <patternFill patternType="solid">
        <fgColor rgb="FFFFF8E1"/>
        <bgColor rgb="FFF7F9FB"/>
      </patternFill>
    </fill>
    <fill>
      <patternFill patternType="solid">
        <fgColor rgb="FFFFFFFF"/>
        <bgColor rgb="FFF7F9FB"/>
      </patternFill>
    </fill>
    <fill>
      <patternFill patternType="solid">
        <fgColor rgb="FFF7F9FB"/>
        <bgColor rgb="FFFFFFFF"/>
      </patternFill>
    </fill>
    <fill>
      <patternFill patternType="solid">
        <fgColor rgb="FFE8F4F0"/>
        <bgColor rgb="FFE5E9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9EE"/>
      </left>
      <right style="thin">
        <color rgb="FFE5E9EE"/>
      </right>
      <top style="thin">
        <color rgb="FFE5E9EE"/>
      </top>
      <bottom style="thin">
        <color rgb="FFE5E9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9EE"/>
      <rgbColor rgb="FFF7F9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8A70"/>
      <rgbColor rgb="FF0E1B2C"/>
      <rgbColor rgb="FF333300"/>
      <rgbColor rgb="FF993300"/>
      <rgbColor rgb="FF993366"/>
      <rgbColor rgb="FF333399"/>
      <rgbColor rgb="FF3A4A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36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60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9.5" hidden="false" customHeight="true" outlineLevel="0" collapsed="false">
      <c r="A2" s="2" t="s">
        <v>17</v>
      </c>
      <c r="B2" s="2" t="n">
        <v>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n">
        <v>1500</v>
      </c>
      <c r="K2" s="2" t="n">
        <v>1</v>
      </c>
      <c r="L2" s="2" t="s">
        <v>25</v>
      </c>
      <c r="M2" s="2" t="s">
        <v>26</v>
      </c>
      <c r="N2" s="2" t="s">
        <v>27</v>
      </c>
      <c r="O2" s="2"/>
      <c r="P2" s="2"/>
      <c r="Q2" s="2"/>
    </row>
    <row r="3" customFormat="false" ht="49.5" hidden="false" customHeight="true" outlineLevel="0" collapsed="false">
      <c r="A3" s="2" t="s">
        <v>28</v>
      </c>
      <c r="B3" s="2" t="n">
        <v>1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24</v>
      </c>
      <c r="J3" s="2" t="n">
        <v>1300</v>
      </c>
      <c r="K3" s="2" t="n">
        <v>1</v>
      </c>
      <c r="L3" s="2" t="s">
        <v>25</v>
      </c>
      <c r="M3" s="2" t="s">
        <v>34</v>
      </c>
      <c r="N3" s="2" t="s">
        <v>27</v>
      </c>
      <c r="O3" s="2"/>
      <c r="P3" s="2"/>
      <c r="Q3" s="2"/>
    </row>
    <row r="4" customFormat="false" ht="49.5" hidden="false" customHeight="true" outlineLevel="0" collapsed="false">
      <c r="A4" s="3" t="s">
        <v>35</v>
      </c>
      <c r="B4" s="3" t="n">
        <v>1</v>
      </c>
      <c r="C4" s="3" t="s">
        <v>18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24</v>
      </c>
      <c r="J4" s="3" t="n">
        <v>1700</v>
      </c>
      <c r="K4" s="3" t="n">
        <v>2</v>
      </c>
      <c r="L4" s="3" t="s">
        <v>41</v>
      </c>
      <c r="M4" s="3" t="s">
        <v>42</v>
      </c>
      <c r="N4" s="3" t="s">
        <v>27</v>
      </c>
      <c r="O4" s="3"/>
      <c r="P4" s="3"/>
      <c r="Q4" s="3"/>
    </row>
    <row r="5" customFormat="false" ht="49.5" hidden="false" customHeight="true" outlineLevel="0" collapsed="false">
      <c r="A5" s="4" t="s">
        <v>43</v>
      </c>
      <c r="B5" s="4" t="n">
        <v>1</v>
      </c>
      <c r="C5" s="4" t="s">
        <v>18</v>
      </c>
      <c r="D5" s="4" t="s">
        <v>19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24</v>
      </c>
      <c r="J5" s="4" t="n">
        <v>1400</v>
      </c>
      <c r="K5" s="4" t="n">
        <v>2</v>
      </c>
      <c r="L5" s="4" t="s">
        <v>41</v>
      </c>
      <c r="M5" s="4" t="s">
        <v>48</v>
      </c>
      <c r="N5" s="4" t="s">
        <v>27</v>
      </c>
      <c r="O5" s="4"/>
      <c r="P5" s="4"/>
      <c r="Q5" s="4"/>
    </row>
    <row r="6" customFormat="false" ht="49.5" hidden="false" customHeight="true" outlineLevel="0" collapsed="false">
      <c r="A6" s="3" t="s">
        <v>49</v>
      </c>
      <c r="B6" s="3" t="n">
        <v>1</v>
      </c>
      <c r="C6" s="3" t="s">
        <v>18</v>
      </c>
      <c r="D6" s="3" t="s">
        <v>19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24</v>
      </c>
      <c r="J6" s="3" t="n">
        <v>1200</v>
      </c>
      <c r="K6" s="3" t="n">
        <v>3</v>
      </c>
      <c r="L6" s="3" t="s">
        <v>41</v>
      </c>
      <c r="M6" s="3" t="s">
        <v>54</v>
      </c>
      <c r="N6" s="3" t="s">
        <v>27</v>
      </c>
      <c r="O6" s="3"/>
      <c r="P6" s="3"/>
      <c r="Q6" s="3"/>
    </row>
    <row r="7" customFormat="false" ht="49.5" hidden="false" customHeight="true" outlineLevel="0" collapsed="false">
      <c r="A7" s="4" t="s">
        <v>55</v>
      </c>
      <c r="B7" s="4" t="n">
        <v>1</v>
      </c>
      <c r="C7" s="4" t="s">
        <v>18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4" t="n">
        <v>1800</v>
      </c>
      <c r="K7" s="4" t="n">
        <v>2</v>
      </c>
      <c r="L7" s="4" t="s">
        <v>41</v>
      </c>
      <c r="M7" s="4" t="s">
        <v>62</v>
      </c>
      <c r="N7" s="4" t="s">
        <v>27</v>
      </c>
      <c r="O7" s="4"/>
      <c r="P7" s="4"/>
      <c r="Q7" s="4"/>
    </row>
    <row r="8" customFormat="false" ht="49.5" hidden="false" customHeight="true" outlineLevel="0" collapsed="false">
      <c r="A8" s="3" t="s">
        <v>63</v>
      </c>
      <c r="B8" s="3" t="n">
        <v>1</v>
      </c>
      <c r="C8" s="3" t="s">
        <v>18</v>
      </c>
      <c r="D8" s="3" t="s">
        <v>56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24</v>
      </c>
      <c r="J8" s="3" t="n">
        <v>1300</v>
      </c>
      <c r="K8" s="3" t="n">
        <v>3</v>
      </c>
      <c r="L8" s="3" t="s">
        <v>41</v>
      </c>
      <c r="M8" s="3" t="s">
        <v>68</v>
      </c>
      <c r="N8" s="3" t="s">
        <v>27</v>
      </c>
      <c r="O8" s="3"/>
      <c r="P8" s="3"/>
      <c r="Q8" s="3"/>
    </row>
    <row r="9" customFormat="false" ht="49.5" hidden="false" customHeight="true" outlineLevel="0" collapsed="false">
      <c r="A9" s="4" t="s">
        <v>69</v>
      </c>
      <c r="B9" s="4" t="n">
        <v>1</v>
      </c>
      <c r="C9" s="4" t="s">
        <v>18</v>
      </c>
      <c r="D9" s="4" t="s">
        <v>19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24</v>
      </c>
      <c r="J9" s="4" t="n">
        <v>1100</v>
      </c>
      <c r="K9" s="4" t="n">
        <v>3</v>
      </c>
      <c r="L9" s="4" t="s">
        <v>41</v>
      </c>
      <c r="M9" s="4" t="s">
        <v>74</v>
      </c>
      <c r="N9" s="4" t="s">
        <v>27</v>
      </c>
      <c r="O9" s="4"/>
      <c r="P9" s="4"/>
      <c r="Q9" s="4"/>
    </row>
    <row r="10" customFormat="false" ht="49.5" hidden="false" customHeight="true" outlineLevel="0" collapsed="false">
      <c r="A10" s="3" t="s">
        <v>75</v>
      </c>
      <c r="B10" s="3" t="n">
        <v>1</v>
      </c>
      <c r="C10" s="3" t="s">
        <v>18</v>
      </c>
      <c r="D10" s="3" t="s">
        <v>29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24</v>
      </c>
      <c r="J10" s="3" t="n">
        <v>1300</v>
      </c>
      <c r="K10" s="3" t="n">
        <v>3</v>
      </c>
      <c r="L10" s="3" t="s">
        <v>41</v>
      </c>
      <c r="M10" s="3" t="s">
        <v>80</v>
      </c>
      <c r="N10" s="3" t="s">
        <v>27</v>
      </c>
      <c r="O10" s="3"/>
      <c r="P10" s="3"/>
      <c r="Q10" s="3"/>
    </row>
    <row r="11" customFormat="false" ht="49.5" hidden="false" customHeight="true" outlineLevel="0" collapsed="false">
      <c r="A11" s="4" t="s">
        <v>81</v>
      </c>
      <c r="B11" s="4" t="n">
        <v>1</v>
      </c>
      <c r="C11" s="4" t="s">
        <v>18</v>
      </c>
      <c r="D11" s="4" t="s">
        <v>29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24</v>
      </c>
      <c r="J11" s="4" t="n">
        <v>1200</v>
      </c>
      <c r="K11" s="4" t="n">
        <v>3</v>
      </c>
      <c r="L11" s="4" t="s">
        <v>41</v>
      </c>
      <c r="M11" s="4" t="s">
        <v>86</v>
      </c>
      <c r="N11" s="4" t="s">
        <v>27</v>
      </c>
      <c r="O11" s="4"/>
      <c r="P11" s="4"/>
      <c r="Q11" s="4"/>
    </row>
    <row r="12" customFormat="false" ht="49.5" hidden="false" customHeight="true" outlineLevel="0" collapsed="false">
      <c r="A12" s="2" t="s">
        <v>87</v>
      </c>
      <c r="B12" s="2" t="n">
        <v>2</v>
      </c>
      <c r="C12" s="2" t="s">
        <v>88</v>
      </c>
      <c r="D12" s="2" t="s">
        <v>56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61</v>
      </c>
      <c r="J12" s="2" t="n">
        <v>1700</v>
      </c>
      <c r="K12" s="2" t="n">
        <v>1</v>
      </c>
      <c r="L12" s="2" t="s">
        <v>25</v>
      </c>
      <c r="M12" s="2" t="s">
        <v>93</v>
      </c>
      <c r="N12" s="2" t="s">
        <v>27</v>
      </c>
      <c r="O12" s="2"/>
      <c r="P12" s="2"/>
      <c r="Q12" s="2"/>
    </row>
    <row r="13" customFormat="false" ht="49.5" hidden="false" customHeight="true" outlineLevel="0" collapsed="false">
      <c r="A13" s="2" t="s">
        <v>94</v>
      </c>
      <c r="B13" s="2" t="n">
        <v>2</v>
      </c>
      <c r="C13" s="2" t="s">
        <v>88</v>
      </c>
      <c r="D13" s="2" t="s">
        <v>19</v>
      </c>
      <c r="E13" s="2" t="s">
        <v>95</v>
      </c>
      <c r="F13" s="2" t="s">
        <v>96</v>
      </c>
      <c r="G13" s="2" t="s">
        <v>97</v>
      </c>
      <c r="H13" s="2" t="s">
        <v>98</v>
      </c>
      <c r="I13" s="2" t="s">
        <v>24</v>
      </c>
      <c r="J13" s="2" t="n">
        <v>1400</v>
      </c>
      <c r="K13" s="2" t="n">
        <v>1</v>
      </c>
      <c r="L13" s="2" t="s">
        <v>25</v>
      </c>
      <c r="M13" s="2" t="s">
        <v>99</v>
      </c>
      <c r="N13" s="2" t="s">
        <v>27</v>
      </c>
      <c r="O13" s="2"/>
      <c r="P13" s="2"/>
      <c r="Q13" s="2"/>
    </row>
    <row r="14" customFormat="false" ht="49.5" hidden="false" customHeight="true" outlineLevel="0" collapsed="false">
      <c r="A14" s="3" t="s">
        <v>100</v>
      </c>
      <c r="B14" s="3" t="n">
        <v>2</v>
      </c>
      <c r="C14" s="3" t="s">
        <v>88</v>
      </c>
      <c r="D14" s="3" t="s">
        <v>56</v>
      </c>
      <c r="E14" s="3" t="s">
        <v>101</v>
      </c>
      <c r="F14" s="3" t="s">
        <v>102</v>
      </c>
      <c r="G14" s="3" t="s">
        <v>103</v>
      </c>
      <c r="H14" s="3" t="s">
        <v>104</v>
      </c>
      <c r="I14" s="3" t="s">
        <v>61</v>
      </c>
      <c r="J14" s="3" t="n">
        <v>1900</v>
      </c>
      <c r="K14" s="3" t="n">
        <v>2</v>
      </c>
      <c r="L14" s="3" t="s">
        <v>41</v>
      </c>
      <c r="M14" s="3" t="s">
        <v>105</v>
      </c>
      <c r="N14" s="3" t="s">
        <v>27</v>
      </c>
      <c r="O14" s="3"/>
      <c r="P14" s="3"/>
      <c r="Q14" s="3"/>
    </row>
    <row r="15" customFormat="false" ht="49.5" hidden="false" customHeight="true" outlineLevel="0" collapsed="false">
      <c r="A15" s="4" t="s">
        <v>106</v>
      </c>
      <c r="B15" s="4" t="n">
        <v>2</v>
      </c>
      <c r="C15" s="4" t="s">
        <v>88</v>
      </c>
      <c r="D15" s="4" t="s">
        <v>56</v>
      </c>
      <c r="E15" s="4" t="s">
        <v>107</v>
      </c>
      <c r="F15" s="4" t="s">
        <v>108</v>
      </c>
      <c r="G15" s="4" t="s">
        <v>109</v>
      </c>
      <c r="H15" s="4" t="s">
        <v>110</v>
      </c>
      <c r="I15" s="4" t="s">
        <v>24</v>
      </c>
      <c r="J15" s="4" t="n">
        <v>1100</v>
      </c>
      <c r="K15" s="4" t="n">
        <v>3</v>
      </c>
      <c r="L15" s="4" t="s">
        <v>41</v>
      </c>
      <c r="M15" s="4" t="s">
        <v>111</v>
      </c>
      <c r="N15" s="4" t="s">
        <v>27</v>
      </c>
      <c r="O15" s="4"/>
      <c r="P15" s="4"/>
      <c r="Q15" s="4"/>
    </row>
    <row r="16" customFormat="false" ht="49.5" hidden="false" customHeight="true" outlineLevel="0" collapsed="false">
      <c r="A16" s="3" t="s">
        <v>112</v>
      </c>
      <c r="B16" s="3" t="n">
        <v>2</v>
      </c>
      <c r="C16" s="3" t="s">
        <v>88</v>
      </c>
      <c r="D16" s="3" t="s">
        <v>56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61</v>
      </c>
      <c r="J16" s="3" t="n">
        <v>1600</v>
      </c>
      <c r="K16" s="3" t="n">
        <v>2</v>
      </c>
      <c r="L16" s="3" t="s">
        <v>41</v>
      </c>
      <c r="M16" s="3" t="s">
        <v>117</v>
      </c>
      <c r="N16" s="3" t="s">
        <v>27</v>
      </c>
      <c r="O16" s="3"/>
      <c r="P16" s="3"/>
      <c r="Q16" s="3"/>
    </row>
    <row r="17" customFormat="false" ht="49.5" hidden="false" customHeight="true" outlineLevel="0" collapsed="false">
      <c r="A17" s="4" t="s">
        <v>118</v>
      </c>
      <c r="B17" s="4" t="n">
        <v>2</v>
      </c>
      <c r="C17" s="4" t="s">
        <v>88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24</v>
      </c>
      <c r="J17" s="4" t="n">
        <v>1500</v>
      </c>
      <c r="K17" s="4" t="n">
        <v>2</v>
      </c>
      <c r="L17" s="4" t="s">
        <v>41</v>
      </c>
      <c r="M17" s="4" t="s">
        <v>124</v>
      </c>
      <c r="N17" s="4" t="s">
        <v>27</v>
      </c>
      <c r="O17" s="4"/>
      <c r="P17" s="4"/>
      <c r="Q17" s="4"/>
    </row>
    <row r="18" customFormat="false" ht="49.5" hidden="false" customHeight="true" outlineLevel="0" collapsed="false">
      <c r="A18" s="3" t="s">
        <v>125</v>
      </c>
      <c r="B18" s="3" t="n">
        <v>2</v>
      </c>
      <c r="C18" s="3" t="s">
        <v>88</v>
      </c>
      <c r="D18" s="3" t="s">
        <v>19</v>
      </c>
      <c r="E18" s="3" t="s">
        <v>126</v>
      </c>
      <c r="F18" s="3" t="s">
        <v>127</v>
      </c>
      <c r="G18" s="3" t="s">
        <v>128</v>
      </c>
      <c r="H18" s="3" t="s">
        <v>129</v>
      </c>
      <c r="I18" s="3" t="s">
        <v>24</v>
      </c>
      <c r="J18" s="3" t="n">
        <v>1100</v>
      </c>
      <c r="K18" s="3" t="n">
        <v>3</v>
      </c>
      <c r="L18" s="3" t="s">
        <v>41</v>
      </c>
      <c r="M18" s="3" t="s">
        <v>130</v>
      </c>
      <c r="N18" s="3" t="s">
        <v>27</v>
      </c>
      <c r="O18" s="3"/>
      <c r="P18" s="3"/>
      <c r="Q18" s="3"/>
    </row>
    <row r="19" customFormat="false" ht="49.5" hidden="false" customHeight="true" outlineLevel="0" collapsed="false">
      <c r="A19" s="4" t="s">
        <v>131</v>
      </c>
      <c r="B19" s="4" t="n">
        <v>2</v>
      </c>
      <c r="C19" s="4" t="s">
        <v>88</v>
      </c>
      <c r="D19" s="4" t="s">
        <v>56</v>
      </c>
      <c r="E19" s="4" t="s">
        <v>132</v>
      </c>
      <c r="F19" s="4" t="s">
        <v>133</v>
      </c>
      <c r="G19" s="4" t="s">
        <v>134</v>
      </c>
      <c r="H19" s="4" t="s">
        <v>135</v>
      </c>
      <c r="I19" s="4" t="s">
        <v>61</v>
      </c>
      <c r="J19" s="4" t="n">
        <v>1700</v>
      </c>
      <c r="K19" s="4" t="n">
        <v>3</v>
      </c>
      <c r="L19" s="4" t="s">
        <v>41</v>
      </c>
      <c r="M19" s="4" t="s">
        <v>136</v>
      </c>
      <c r="N19" s="4" t="s">
        <v>27</v>
      </c>
      <c r="O19" s="4"/>
      <c r="P19" s="4"/>
      <c r="Q19" s="4"/>
    </row>
    <row r="20" customFormat="false" ht="49.5" hidden="false" customHeight="true" outlineLevel="0" collapsed="false">
      <c r="A20" s="3" t="s">
        <v>137</v>
      </c>
      <c r="B20" s="3" t="n">
        <v>2</v>
      </c>
      <c r="C20" s="3" t="s">
        <v>88</v>
      </c>
      <c r="D20" s="3" t="s">
        <v>138</v>
      </c>
      <c r="E20" s="3" t="s">
        <v>139</v>
      </c>
      <c r="F20" s="3" t="s">
        <v>140</v>
      </c>
      <c r="G20" s="3" t="s">
        <v>141</v>
      </c>
      <c r="H20" s="3" t="s">
        <v>142</v>
      </c>
      <c r="I20" s="3" t="s">
        <v>24</v>
      </c>
      <c r="J20" s="3" t="n">
        <v>1200</v>
      </c>
      <c r="K20" s="3" t="n">
        <v>2</v>
      </c>
      <c r="L20" s="3" t="s">
        <v>41</v>
      </c>
      <c r="M20" s="3" t="s">
        <v>143</v>
      </c>
      <c r="N20" s="3" t="s">
        <v>27</v>
      </c>
      <c r="O20" s="3"/>
      <c r="P20" s="3"/>
      <c r="Q20" s="3"/>
    </row>
    <row r="21" customFormat="false" ht="49.5" hidden="false" customHeight="true" outlineLevel="0" collapsed="false">
      <c r="A21" s="4" t="s">
        <v>144</v>
      </c>
      <c r="B21" s="4" t="n">
        <v>2</v>
      </c>
      <c r="C21" s="4" t="s">
        <v>88</v>
      </c>
      <c r="D21" s="4" t="s">
        <v>29</v>
      </c>
      <c r="E21" s="4" t="s">
        <v>145</v>
      </c>
      <c r="F21" s="4" t="s">
        <v>146</v>
      </c>
      <c r="G21" s="4" t="s">
        <v>147</v>
      </c>
      <c r="H21" s="4" t="s">
        <v>148</v>
      </c>
      <c r="I21" s="4" t="s">
        <v>24</v>
      </c>
      <c r="J21" s="4" t="n">
        <v>1300</v>
      </c>
      <c r="K21" s="4" t="n">
        <v>3</v>
      </c>
      <c r="L21" s="4" t="s">
        <v>41</v>
      </c>
      <c r="M21" s="4" t="s">
        <v>149</v>
      </c>
      <c r="N21" s="4" t="s">
        <v>27</v>
      </c>
      <c r="O21" s="4"/>
      <c r="P21" s="4"/>
      <c r="Q21" s="4"/>
    </row>
    <row r="22" customFormat="false" ht="49.5" hidden="false" customHeight="true" outlineLevel="0" collapsed="false">
      <c r="A22" s="2" t="s">
        <v>150</v>
      </c>
      <c r="B22" s="2" t="n">
        <v>3</v>
      </c>
      <c r="C22" s="2" t="s">
        <v>151</v>
      </c>
      <c r="D22" s="2" t="s">
        <v>36</v>
      </c>
      <c r="E22" s="2" t="s">
        <v>152</v>
      </c>
      <c r="F22" s="2" t="s">
        <v>153</v>
      </c>
      <c r="G22" s="2" t="s">
        <v>154</v>
      </c>
      <c r="H22" s="2" t="s">
        <v>155</v>
      </c>
      <c r="I22" s="2" t="s">
        <v>61</v>
      </c>
      <c r="J22" s="2" t="n">
        <v>1800</v>
      </c>
      <c r="K22" s="2" t="n">
        <v>1</v>
      </c>
      <c r="L22" s="2" t="s">
        <v>25</v>
      </c>
      <c r="M22" s="2" t="s">
        <v>156</v>
      </c>
      <c r="N22" s="2" t="s">
        <v>27</v>
      </c>
      <c r="O22" s="2"/>
      <c r="P22" s="2"/>
      <c r="Q22" s="2"/>
    </row>
    <row r="23" customFormat="false" ht="49.5" hidden="false" customHeight="true" outlineLevel="0" collapsed="false">
      <c r="A23" s="4" t="s">
        <v>157</v>
      </c>
      <c r="B23" s="4" t="n">
        <v>3</v>
      </c>
      <c r="C23" s="4" t="s">
        <v>151</v>
      </c>
      <c r="D23" s="4" t="s">
        <v>29</v>
      </c>
      <c r="E23" s="4" t="s">
        <v>158</v>
      </c>
      <c r="F23" s="4" t="s">
        <v>159</v>
      </c>
      <c r="G23" s="4" t="s">
        <v>160</v>
      </c>
      <c r="H23" s="4" t="s">
        <v>161</v>
      </c>
      <c r="I23" s="4" t="s">
        <v>24</v>
      </c>
      <c r="J23" s="4" t="n">
        <v>1300</v>
      </c>
      <c r="K23" s="4" t="n">
        <v>2</v>
      </c>
      <c r="L23" s="4" t="s">
        <v>41</v>
      </c>
      <c r="M23" s="4" t="s">
        <v>162</v>
      </c>
      <c r="N23" s="4" t="s">
        <v>27</v>
      </c>
      <c r="O23" s="4"/>
      <c r="P23" s="4"/>
      <c r="Q23" s="4"/>
    </row>
    <row r="24" customFormat="false" ht="49.5" hidden="false" customHeight="true" outlineLevel="0" collapsed="false">
      <c r="A24" s="3" t="s">
        <v>163</v>
      </c>
      <c r="B24" s="3" t="n">
        <v>3</v>
      </c>
      <c r="C24" s="3" t="s">
        <v>151</v>
      </c>
      <c r="D24" s="3" t="s">
        <v>19</v>
      </c>
      <c r="E24" s="3" t="s">
        <v>164</v>
      </c>
      <c r="F24" s="3" t="s">
        <v>165</v>
      </c>
      <c r="G24" s="3" t="s">
        <v>166</v>
      </c>
      <c r="H24" s="3" t="s">
        <v>167</v>
      </c>
      <c r="I24" s="3" t="s">
        <v>24</v>
      </c>
      <c r="J24" s="3" t="n">
        <v>1200</v>
      </c>
      <c r="K24" s="3" t="n">
        <v>2</v>
      </c>
      <c r="L24" s="3" t="s">
        <v>41</v>
      </c>
      <c r="M24" s="3" t="s">
        <v>168</v>
      </c>
      <c r="N24" s="3" t="s">
        <v>27</v>
      </c>
      <c r="O24" s="3"/>
      <c r="P24" s="3"/>
      <c r="Q24" s="3"/>
    </row>
    <row r="25" customFormat="false" ht="49.5" hidden="false" customHeight="true" outlineLevel="0" collapsed="false">
      <c r="A25" s="4" t="s">
        <v>169</v>
      </c>
      <c r="B25" s="4" t="n">
        <v>3</v>
      </c>
      <c r="C25" s="4" t="s">
        <v>151</v>
      </c>
      <c r="D25" s="4" t="s">
        <v>29</v>
      </c>
      <c r="E25" s="4" t="s">
        <v>170</v>
      </c>
      <c r="F25" s="4" t="s">
        <v>171</v>
      </c>
      <c r="G25" s="4" t="s">
        <v>172</v>
      </c>
      <c r="H25" s="4" t="s">
        <v>173</v>
      </c>
      <c r="I25" s="4" t="s">
        <v>24</v>
      </c>
      <c r="J25" s="4" t="n">
        <v>1500</v>
      </c>
      <c r="K25" s="4" t="n">
        <v>3</v>
      </c>
      <c r="L25" s="4" t="s">
        <v>41</v>
      </c>
      <c r="M25" s="4" t="s">
        <v>174</v>
      </c>
      <c r="N25" s="4" t="s">
        <v>27</v>
      </c>
      <c r="O25" s="4"/>
      <c r="P25" s="4"/>
      <c r="Q25" s="4"/>
    </row>
    <row r="26" customFormat="false" ht="49.5" hidden="false" customHeight="true" outlineLevel="0" collapsed="false">
      <c r="A26" s="3" t="s">
        <v>175</v>
      </c>
      <c r="B26" s="3" t="n">
        <v>3</v>
      </c>
      <c r="C26" s="3" t="s">
        <v>151</v>
      </c>
      <c r="D26" s="3" t="s">
        <v>138</v>
      </c>
      <c r="E26" s="3" t="s">
        <v>176</v>
      </c>
      <c r="F26" s="3" t="s">
        <v>177</v>
      </c>
      <c r="G26" s="3" t="s">
        <v>178</v>
      </c>
      <c r="H26" s="3" t="s">
        <v>179</v>
      </c>
      <c r="I26" s="3" t="s">
        <v>24</v>
      </c>
      <c r="J26" s="3" t="n">
        <v>2000</v>
      </c>
      <c r="K26" s="3" t="n">
        <v>2</v>
      </c>
      <c r="L26" s="3" t="s">
        <v>41</v>
      </c>
      <c r="M26" s="3" t="s">
        <v>180</v>
      </c>
      <c r="N26" s="3" t="s">
        <v>27</v>
      </c>
      <c r="O26" s="3"/>
      <c r="P26" s="3"/>
      <c r="Q26" s="3"/>
    </row>
    <row r="27" customFormat="false" ht="49.5" hidden="false" customHeight="true" outlineLevel="0" collapsed="false">
      <c r="A27" s="4" t="s">
        <v>181</v>
      </c>
      <c r="B27" s="4" t="n">
        <v>3</v>
      </c>
      <c r="C27" s="4" t="s">
        <v>151</v>
      </c>
      <c r="D27" s="4" t="s">
        <v>19</v>
      </c>
      <c r="E27" s="4" t="s">
        <v>182</v>
      </c>
      <c r="F27" s="4" t="s">
        <v>183</v>
      </c>
      <c r="G27" s="4" t="s">
        <v>184</v>
      </c>
      <c r="H27" s="4" t="s">
        <v>185</v>
      </c>
      <c r="I27" s="4" t="s">
        <v>61</v>
      </c>
      <c r="J27" s="4" t="n">
        <v>1300</v>
      </c>
      <c r="K27" s="4" t="n">
        <v>3</v>
      </c>
      <c r="L27" s="4" t="s">
        <v>41</v>
      </c>
      <c r="M27" s="4" t="s">
        <v>186</v>
      </c>
      <c r="N27" s="4" t="s">
        <v>27</v>
      </c>
      <c r="O27" s="4"/>
      <c r="P27" s="4"/>
      <c r="Q27" s="4"/>
    </row>
    <row r="28" customFormat="false" ht="49.5" hidden="false" customHeight="true" outlineLevel="0" collapsed="false">
      <c r="A28" s="3" t="s">
        <v>187</v>
      </c>
      <c r="B28" s="3" t="n">
        <v>3</v>
      </c>
      <c r="C28" s="3" t="s">
        <v>151</v>
      </c>
      <c r="D28" s="3" t="s">
        <v>138</v>
      </c>
      <c r="E28" s="3" t="s">
        <v>188</v>
      </c>
      <c r="F28" s="3" t="s">
        <v>189</v>
      </c>
      <c r="G28" s="3" t="s">
        <v>190</v>
      </c>
      <c r="H28" s="3" t="s">
        <v>191</v>
      </c>
      <c r="I28" s="3" t="s">
        <v>24</v>
      </c>
      <c r="J28" s="3" t="n">
        <v>1500</v>
      </c>
      <c r="K28" s="3" t="n">
        <v>3</v>
      </c>
      <c r="L28" s="3" t="s">
        <v>41</v>
      </c>
      <c r="M28" s="3" t="s">
        <v>192</v>
      </c>
      <c r="N28" s="3" t="s">
        <v>27</v>
      </c>
      <c r="O28" s="3"/>
      <c r="P28" s="3"/>
      <c r="Q28" s="3"/>
    </row>
    <row r="29" customFormat="false" ht="49.5" hidden="false" customHeight="true" outlineLevel="0" collapsed="false">
      <c r="A29" s="4" t="s">
        <v>193</v>
      </c>
      <c r="B29" s="4" t="n">
        <v>3</v>
      </c>
      <c r="C29" s="4" t="s">
        <v>151</v>
      </c>
      <c r="D29" s="4" t="s">
        <v>56</v>
      </c>
      <c r="E29" s="4" t="s">
        <v>194</v>
      </c>
      <c r="F29" s="4" t="s">
        <v>195</v>
      </c>
      <c r="G29" s="4" t="s">
        <v>196</v>
      </c>
      <c r="H29" s="4" t="s">
        <v>197</v>
      </c>
      <c r="I29" s="4" t="s">
        <v>61</v>
      </c>
      <c r="J29" s="4" t="n">
        <v>1100</v>
      </c>
      <c r="K29" s="4" t="n">
        <v>3</v>
      </c>
      <c r="L29" s="4" t="s">
        <v>41</v>
      </c>
      <c r="M29" s="4" t="s">
        <v>198</v>
      </c>
      <c r="N29" s="4" t="s">
        <v>27</v>
      </c>
      <c r="O29" s="4"/>
      <c r="P29" s="4"/>
      <c r="Q29" s="4"/>
    </row>
    <row r="30" customFormat="false" ht="49.5" hidden="false" customHeight="true" outlineLevel="0" collapsed="false">
      <c r="A30" s="3" t="s">
        <v>199</v>
      </c>
      <c r="B30" s="3" t="n">
        <v>3</v>
      </c>
      <c r="C30" s="3" t="s">
        <v>151</v>
      </c>
      <c r="D30" s="3" t="s">
        <v>36</v>
      </c>
      <c r="E30" s="3" t="s">
        <v>200</v>
      </c>
      <c r="F30" s="3" t="s">
        <v>201</v>
      </c>
      <c r="G30" s="3" t="s">
        <v>202</v>
      </c>
      <c r="H30" s="3" t="s">
        <v>203</v>
      </c>
      <c r="I30" s="3" t="s">
        <v>24</v>
      </c>
      <c r="J30" s="3" t="n">
        <v>1400</v>
      </c>
      <c r="K30" s="3" t="n">
        <v>3</v>
      </c>
      <c r="L30" s="3" t="s">
        <v>41</v>
      </c>
      <c r="M30" s="3" t="s">
        <v>204</v>
      </c>
      <c r="N30" s="3" t="s">
        <v>27</v>
      </c>
      <c r="O30" s="3"/>
      <c r="P30" s="3"/>
      <c r="Q30" s="3"/>
    </row>
    <row r="31" customFormat="false" ht="49.5" hidden="false" customHeight="true" outlineLevel="0" collapsed="false">
      <c r="A31" s="4" t="s">
        <v>205</v>
      </c>
      <c r="B31" s="4" t="n">
        <v>3</v>
      </c>
      <c r="C31" s="4" t="s">
        <v>151</v>
      </c>
      <c r="D31" s="4" t="s">
        <v>56</v>
      </c>
      <c r="E31" s="4" t="s">
        <v>206</v>
      </c>
      <c r="F31" s="4" t="s">
        <v>207</v>
      </c>
      <c r="G31" s="4" t="s">
        <v>208</v>
      </c>
      <c r="H31" s="4" t="s">
        <v>209</v>
      </c>
      <c r="I31" s="4" t="s">
        <v>61</v>
      </c>
      <c r="J31" s="4" t="n">
        <v>1400</v>
      </c>
      <c r="K31" s="4" t="n">
        <v>3</v>
      </c>
      <c r="L31" s="4" t="s">
        <v>41</v>
      </c>
      <c r="M31" s="4" t="s">
        <v>210</v>
      </c>
      <c r="N31" s="4" t="s">
        <v>27</v>
      </c>
      <c r="O31" s="4"/>
      <c r="P31" s="4"/>
      <c r="Q31" s="4"/>
    </row>
    <row r="32" customFormat="false" ht="49.5" hidden="false" customHeight="true" outlineLevel="0" collapsed="false">
      <c r="A32" s="2" t="s">
        <v>211</v>
      </c>
      <c r="B32" s="2" t="n">
        <v>4</v>
      </c>
      <c r="C32" s="2" t="s">
        <v>212</v>
      </c>
      <c r="D32" s="2" t="s">
        <v>29</v>
      </c>
      <c r="E32" s="2" t="s">
        <v>213</v>
      </c>
      <c r="F32" s="2" t="s">
        <v>214</v>
      </c>
      <c r="G32" s="2" t="s">
        <v>215</v>
      </c>
      <c r="H32" s="2" t="s">
        <v>216</v>
      </c>
      <c r="I32" s="2" t="s">
        <v>24</v>
      </c>
      <c r="J32" s="2" t="n">
        <v>1400</v>
      </c>
      <c r="K32" s="2" t="n">
        <v>1</v>
      </c>
      <c r="L32" s="2" t="s">
        <v>25</v>
      </c>
      <c r="M32" s="2" t="s">
        <v>217</v>
      </c>
      <c r="N32" s="2" t="s">
        <v>27</v>
      </c>
      <c r="O32" s="2"/>
      <c r="P32" s="2"/>
      <c r="Q32" s="2"/>
    </row>
    <row r="33" customFormat="false" ht="49.5" hidden="false" customHeight="true" outlineLevel="0" collapsed="false">
      <c r="A33" s="2" t="s">
        <v>218</v>
      </c>
      <c r="B33" s="2" t="n">
        <v>4</v>
      </c>
      <c r="C33" s="2" t="s">
        <v>212</v>
      </c>
      <c r="D33" s="2" t="s">
        <v>56</v>
      </c>
      <c r="E33" s="2" t="s">
        <v>219</v>
      </c>
      <c r="F33" s="2" t="s">
        <v>220</v>
      </c>
      <c r="G33" s="2" t="s">
        <v>221</v>
      </c>
      <c r="H33" s="2" t="s">
        <v>222</v>
      </c>
      <c r="I33" s="2" t="s">
        <v>61</v>
      </c>
      <c r="J33" s="2" t="n">
        <v>1500</v>
      </c>
      <c r="K33" s="2" t="n">
        <v>1</v>
      </c>
      <c r="L33" s="2" t="s">
        <v>25</v>
      </c>
      <c r="M33" s="2" t="s">
        <v>223</v>
      </c>
      <c r="N33" s="2" t="s">
        <v>27</v>
      </c>
      <c r="O33" s="2"/>
      <c r="P33" s="2"/>
      <c r="Q33" s="2"/>
    </row>
    <row r="34" customFormat="false" ht="49.5" hidden="false" customHeight="true" outlineLevel="0" collapsed="false">
      <c r="A34" s="3" t="s">
        <v>224</v>
      </c>
      <c r="B34" s="3" t="n">
        <v>4</v>
      </c>
      <c r="C34" s="3" t="s">
        <v>212</v>
      </c>
      <c r="D34" s="3" t="s">
        <v>56</v>
      </c>
      <c r="E34" s="3" t="s">
        <v>225</v>
      </c>
      <c r="F34" s="3" t="s">
        <v>226</v>
      </c>
      <c r="G34" s="3" t="s">
        <v>227</v>
      </c>
      <c r="H34" s="3" t="s">
        <v>228</v>
      </c>
      <c r="I34" s="3" t="s">
        <v>61</v>
      </c>
      <c r="J34" s="3" t="n">
        <v>2000</v>
      </c>
      <c r="K34" s="3" t="n">
        <v>2</v>
      </c>
      <c r="L34" s="3" t="s">
        <v>41</v>
      </c>
      <c r="M34" s="3" t="s">
        <v>229</v>
      </c>
      <c r="N34" s="3" t="s">
        <v>27</v>
      </c>
      <c r="O34" s="3"/>
      <c r="P34" s="3"/>
      <c r="Q34" s="3"/>
    </row>
    <row r="35" customFormat="false" ht="49.5" hidden="false" customHeight="true" outlineLevel="0" collapsed="false">
      <c r="A35" s="4" t="s">
        <v>230</v>
      </c>
      <c r="B35" s="4" t="n">
        <v>4</v>
      </c>
      <c r="C35" s="4" t="s">
        <v>212</v>
      </c>
      <c r="D35" s="4" t="s">
        <v>36</v>
      </c>
      <c r="E35" s="4" t="s">
        <v>231</v>
      </c>
      <c r="F35" s="4" t="s">
        <v>232</v>
      </c>
      <c r="G35" s="4" t="s">
        <v>233</v>
      </c>
      <c r="H35" s="4" t="s">
        <v>234</v>
      </c>
      <c r="I35" s="4" t="s">
        <v>24</v>
      </c>
      <c r="J35" s="4" t="n">
        <v>1500</v>
      </c>
      <c r="K35" s="4" t="n">
        <v>2</v>
      </c>
      <c r="L35" s="4" t="s">
        <v>41</v>
      </c>
      <c r="M35" s="4" t="s">
        <v>235</v>
      </c>
      <c r="N35" s="4" t="s">
        <v>27</v>
      </c>
      <c r="O35" s="4"/>
      <c r="P35" s="4"/>
      <c r="Q35" s="4"/>
    </row>
    <row r="36" customFormat="false" ht="49.5" hidden="false" customHeight="true" outlineLevel="0" collapsed="false">
      <c r="A36" s="3" t="s">
        <v>236</v>
      </c>
      <c r="B36" s="3" t="n">
        <v>4</v>
      </c>
      <c r="C36" s="3" t="s">
        <v>212</v>
      </c>
      <c r="D36" s="3" t="s">
        <v>56</v>
      </c>
      <c r="E36" s="3" t="s">
        <v>237</v>
      </c>
      <c r="F36" s="3" t="s">
        <v>238</v>
      </c>
      <c r="G36" s="3" t="s">
        <v>239</v>
      </c>
      <c r="H36" s="3" t="s">
        <v>240</v>
      </c>
      <c r="I36" s="3" t="s">
        <v>24</v>
      </c>
      <c r="J36" s="3" t="n">
        <v>1100</v>
      </c>
      <c r="K36" s="3" t="n">
        <v>3</v>
      </c>
      <c r="L36" s="3" t="s">
        <v>41</v>
      </c>
      <c r="M36" s="3" t="s">
        <v>241</v>
      </c>
      <c r="N36" s="3" t="s">
        <v>27</v>
      </c>
      <c r="O36" s="3"/>
      <c r="P36" s="3"/>
      <c r="Q36" s="3"/>
    </row>
    <row r="37" customFormat="false" ht="49.5" hidden="false" customHeight="true" outlineLevel="0" collapsed="false">
      <c r="A37" s="4" t="s">
        <v>242</v>
      </c>
      <c r="B37" s="4" t="n">
        <v>4</v>
      </c>
      <c r="C37" s="4" t="s">
        <v>212</v>
      </c>
      <c r="D37" s="4" t="s">
        <v>119</v>
      </c>
      <c r="E37" s="4" t="s">
        <v>243</v>
      </c>
      <c r="F37" s="4" t="s">
        <v>244</v>
      </c>
      <c r="G37" s="4" t="s">
        <v>245</v>
      </c>
      <c r="H37" s="4" t="s">
        <v>246</v>
      </c>
      <c r="I37" s="4" t="s">
        <v>24</v>
      </c>
      <c r="J37" s="4" t="n">
        <v>1700</v>
      </c>
      <c r="K37" s="4" t="n">
        <v>3</v>
      </c>
      <c r="L37" s="4" t="s">
        <v>41</v>
      </c>
      <c r="M37" s="4" t="s">
        <v>247</v>
      </c>
      <c r="N37" s="4" t="s">
        <v>27</v>
      </c>
      <c r="O37" s="4"/>
      <c r="P37" s="4"/>
      <c r="Q37" s="4"/>
    </row>
    <row r="38" customFormat="false" ht="49.5" hidden="false" customHeight="true" outlineLevel="0" collapsed="false">
      <c r="A38" s="3" t="s">
        <v>248</v>
      </c>
      <c r="B38" s="3" t="n">
        <v>4</v>
      </c>
      <c r="C38" s="3" t="s">
        <v>212</v>
      </c>
      <c r="D38" s="3" t="s">
        <v>56</v>
      </c>
      <c r="E38" s="3" t="s">
        <v>249</v>
      </c>
      <c r="F38" s="3" t="s">
        <v>250</v>
      </c>
      <c r="G38" s="3" t="s">
        <v>251</v>
      </c>
      <c r="H38" s="3" t="s">
        <v>252</v>
      </c>
      <c r="I38" s="3" t="s">
        <v>61</v>
      </c>
      <c r="J38" s="3" t="n">
        <v>1700</v>
      </c>
      <c r="K38" s="3" t="n">
        <v>2</v>
      </c>
      <c r="L38" s="3" t="s">
        <v>41</v>
      </c>
      <c r="M38" s="3" t="s">
        <v>253</v>
      </c>
      <c r="N38" s="3" t="s">
        <v>27</v>
      </c>
      <c r="O38" s="3"/>
      <c r="P38" s="3"/>
      <c r="Q38" s="3"/>
    </row>
    <row r="39" customFormat="false" ht="49.5" hidden="false" customHeight="true" outlineLevel="0" collapsed="false">
      <c r="A39" s="4" t="s">
        <v>254</v>
      </c>
      <c r="B39" s="4" t="n">
        <v>4</v>
      </c>
      <c r="C39" s="4" t="s">
        <v>212</v>
      </c>
      <c r="D39" s="4" t="s">
        <v>19</v>
      </c>
      <c r="E39" s="4" t="s">
        <v>255</v>
      </c>
      <c r="F39" s="4" t="s">
        <v>256</v>
      </c>
      <c r="G39" s="4" t="s">
        <v>257</v>
      </c>
      <c r="H39" s="4" t="s">
        <v>258</v>
      </c>
      <c r="I39" s="4" t="s">
        <v>24</v>
      </c>
      <c r="J39" s="4" t="n">
        <v>1200</v>
      </c>
      <c r="K39" s="4" t="n">
        <v>3</v>
      </c>
      <c r="L39" s="4" t="s">
        <v>41</v>
      </c>
      <c r="M39" s="4" t="s">
        <v>259</v>
      </c>
      <c r="N39" s="4" t="s">
        <v>27</v>
      </c>
      <c r="O39" s="4"/>
      <c r="P39" s="4"/>
      <c r="Q39" s="4"/>
    </row>
    <row r="40" customFormat="false" ht="49.5" hidden="false" customHeight="true" outlineLevel="0" collapsed="false">
      <c r="A40" s="3" t="s">
        <v>260</v>
      </c>
      <c r="B40" s="3" t="n">
        <v>4</v>
      </c>
      <c r="C40" s="3" t="s">
        <v>212</v>
      </c>
      <c r="D40" s="3" t="s">
        <v>29</v>
      </c>
      <c r="E40" s="3" t="s">
        <v>261</v>
      </c>
      <c r="F40" s="3" t="s">
        <v>262</v>
      </c>
      <c r="G40" s="3" t="s">
        <v>263</v>
      </c>
      <c r="H40" s="3" t="s">
        <v>264</v>
      </c>
      <c r="I40" s="3" t="s">
        <v>24</v>
      </c>
      <c r="J40" s="3" t="n">
        <v>1500</v>
      </c>
      <c r="K40" s="3" t="n">
        <v>3</v>
      </c>
      <c r="L40" s="3" t="s">
        <v>41</v>
      </c>
      <c r="M40" s="3" t="s">
        <v>265</v>
      </c>
      <c r="N40" s="3" t="s">
        <v>27</v>
      </c>
      <c r="O40" s="3"/>
      <c r="P40" s="3"/>
      <c r="Q40" s="3"/>
    </row>
    <row r="41" customFormat="false" ht="49.5" hidden="false" customHeight="true" outlineLevel="0" collapsed="false">
      <c r="A41" s="4" t="s">
        <v>266</v>
      </c>
      <c r="B41" s="4" t="n">
        <v>4</v>
      </c>
      <c r="C41" s="4" t="s">
        <v>212</v>
      </c>
      <c r="D41" s="4" t="s">
        <v>56</v>
      </c>
      <c r="E41" s="4" t="s">
        <v>267</v>
      </c>
      <c r="F41" s="4" t="s">
        <v>268</v>
      </c>
      <c r="G41" s="4" t="s">
        <v>269</v>
      </c>
      <c r="H41" s="4" t="s">
        <v>270</v>
      </c>
      <c r="I41" s="4" t="s">
        <v>24</v>
      </c>
      <c r="J41" s="4" t="n">
        <v>1300</v>
      </c>
      <c r="K41" s="4" t="n">
        <v>3</v>
      </c>
      <c r="L41" s="4" t="s">
        <v>41</v>
      </c>
      <c r="M41" s="4" t="s">
        <v>271</v>
      </c>
      <c r="N41" s="4" t="s">
        <v>27</v>
      </c>
      <c r="O41" s="4"/>
      <c r="P41" s="4"/>
      <c r="Q41" s="4"/>
    </row>
    <row r="42" customFormat="false" ht="49.5" hidden="false" customHeight="true" outlineLevel="0" collapsed="false">
      <c r="A42" s="2" t="s">
        <v>272</v>
      </c>
      <c r="B42" s="2" t="n">
        <v>5</v>
      </c>
      <c r="C42" s="2" t="s">
        <v>273</v>
      </c>
      <c r="D42" s="2" t="s">
        <v>36</v>
      </c>
      <c r="E42" s="2" t="s">
        <v>274</v>
      </c>
      <c r="F42" s="2" t="s">
        <v>275</v>
      </c>
      <c r="G42" s="2" t="s">
        <v>276</v>
      </c>
      <c r="H42" s="2" t="s">
        <v>277</v>
      </c>
      <c r="I42" s="2" t="s">
        <v>24</v>
      </c>
      <c r="J42" s="2" t="n">
        <v>2000</v>
      </c>
      <c r="K42" s="2" t="n">
        <v>1</v>
      </c>
      <c r="L42" s="2" t="s">
        <v>25</v>
      </c>
      <c r="M42" s="2" t="s">
        <v>278</v>
      </c>
      <c r="N42" s="2" t="s">
        <v>27</v>
      </c>
      <c r="O42" s="2"/>
      <c r="P42" s="2"/>
      <c r="Q42" s="2"/>
    </row>
    <row r="43" customFormat="false" ht="49.5" hidden="false" customHeight="true" outlineLevel="0" collapsed="false">
      <c r="A43" s="2" t="s">
        <v>279</v>
      </c>
      <c r="B43" s="2" t="n">
        <v>5</v>
      </c>
      <c r="C43" s="2" t="s">
        <v>273</v>
      </c>
      <c r="D43" s="2" t="s">
        <v>36</v>
      </c>
      <c r="E43" s="2" t="s">
        <v>280</v>
      </c>
      <c r="F43" s="2" t="s">
        <v>281</v>
      </c>
      <c r="G43" s="2" t="s">
        <v>282</v>
      </c>
      <c r="H43" s="2" t="s">
        <v>283</v>
      </c>
      <c r="I43" s="2" t="s">
        <v>24</v>
      </c>
      <c r="J43" s="2" t="n">
        <v>2200</v>
      </c>
      <c r="K43" s="2" t="n">
        <v>1</v>
      </c>
      <c r="L43" s="2" t="s">
        <v>25</v>
      </c>
      <c r="M43" s="2" t="s">
        <v>284</v>
      </c>
      <c r="N43" s="2" t="s">
        <v>27</v>
      </c>
      <c r="O43" s="2"/>
      <c r="P43" s="2"/>
      <c r="Q43" s="2"/>
    </row>
    <row r="44" customFormat="false" ht="49.5" hidden="false" customHeight="true" outlineLevel="0" collapsed="false">
      <c r="A44" s="2" t="s">
        <v>285</v>
      </c>
      <c r="B44" s="2" t="n">
        <v>5</v>
      </c>
      <c r="C44" s="2" t="s">
        <v>273</v>
      </c>
      <c r="D44" s="2" t="s">
        <v>36</v>
      </c>
      <c r="E44" s="2" t="s">
        <v>286</v>
      </c>
      <c r="F44" s="2" t="s">
        <v>287</v>
      </c>
      <c r="G44" s="2" t="s">
        <v>288</v>
      </c>
      <c r="H44" s="2" t="s">
        <v>289</v>
      </c>
      <c r="I44" s="2" t="s">
        <v>24</v>
      </c>
      <c r="J44" s="2" t="n">
        <v>1800</v>
      </c>
      <c r="K44" s="2" t="n">
        <v>1</v>
      </c>
      <c r="L44" s="2" t="s">
        <v>25</v>
      </c>
      <c r="M44" s="2" t="s">
        <v>290</v>
      </c>
      <c r="N44" s="2" t="s">
        <v>27</v>
      </c>
      <c r="O44" s="2"/>
      <c r="P44" s="2"/>
      <c r="Q44" s="2"/>
    </row>
    <row r="45" customFormat="false" ht="49.5" hidden="false" customHeight="true" outlineLevel="0" collapsed="false">
      <c r="A45" s="4" t="s">
        <v>291</v>
      </c>
      <c r="B45" s="4" t="n">
        <v>5</v>
      </c>
      <c r="C45" s="4" t="s">
        <v>273</v>
      </c>
      <c r="D45" s="4" t="s">
        <v>138</v>
      </c>
      <c r="E45" s="4" t="s">
        <v>292</v>
      </c>
      <c r="F45" s="4" t="s">
        <v>293</v>
      </c>
      <c r="G45" s="4" t="s">
        <v>294</v>
      </c>
      <c r="H45" s="4" t="s">
        <v>295</v>
      </c>
      <c r="I45" s="4" t="s">
        <v>24</v>
      </c>
      <c r="J45" s="4" t="n">
        <v>1400</v>
      </c>
      <c r="K45" s="4" t="n">
        <v>2</v>
      </c>
      <c r="L45" s="4" t="s">
        <v>41</v>
      </c>
      <c r="M45" s="4" t="s">
        <v>296</v>
      </c>
      <c r="N45" s="4" t="s">
        <v>27</v>
      </c>
      <c r="O45" s="4"/>
      <c r="P45" s="4"/>
      <c r="Q45" s="4"/>
    </row>
    <row r="46" customFormat="false" ht="49.5" hidden="false" customHeight="true" outlineLevel="0" collapsed="false">
      <c r="A46" s="3" t="s">
        <v>297</v>
      </c>
      <c r="B46" s="3" t="n">
        <v>5</v>
      </c>
      <c r="C46" s="3" t="s">
        <v>273</v>
      </c>
      <c r="D46" s="3" t="s">
        <v>36</v>
      </c>
      <c r="E46" s="3" t="s">
        <v>298</v>
      </c>
      <c r="F46" s="3" t="s">
        <v>299</v>
      </c>
      <c r="G46" s="3" t="s">
        <v>300</v>
      </c>
      <c r="H46" s="3" t="s">
        <v>301</v>
      </c>
      <c r="I46" s="3" t="s">
        <v>24</v>
      </c>
      <c r="J46" s="3" t="n">
        <v>1700</v>
      </c>
      <c r="K46" s="3" t="n">
        <v>2</v>
      </c>
      <c r="L46" s="3" t="s">
        <v>41</v>
      </c>
      <c r="M46" s="3" t="s">
        <v>302</v>
      </c>
      <c r="N46" s="3" t="s">
        <v>27</v>
      </c>
      <c r="O46" s="3"/>
      <c r="P46" s="3"/>
      <c r="Q46" s="3"/>
    </row>
    <row r="47" customFormat="false" ht="49.5" hidden="false" customHeight="true" outlineLevel="0" collapsed="false">
      <c r="A47" s="4" t="s">
        <v>303</v>
      </c>
      <c r="B47" s="4" t="n">
        <v>5</v>
      </c>
      <c r="C47" s="4" t="s">
        <v>273</v>
      </c>
      <c r="D47" s="4" t="s">
        <v>56</v>
      </c>
      <c r="E47" s="4" t="s">
        <v>304</v>
      </c>
      <c r="F47" s="4" t="s">
        <v>305</v>
      </c>
      <c r="G47" s="4" t="s">
        <v>306</v>
      </c>
      <c r="H47" s="4" t="s">
        <v>307</v>
      </c>
      <c r="I47" s="4" t="s">
        <v>61</v>
      </c>
      <c r="J47" s="4" t="n">
        <v>1500</v>
      </c>
      <c r="K47" s="4" t="n">
        <v>2</v>
      </c>
      <c r="L47" s="4" t="s">
        <v>41</v>
      </c>
      <c r="M47" s="4" t="s">
        <v>308</v>
      </c>
      <c r="N47" s="4" t="s">
        <v>27</v>
      </c>
      <c r="O47" s="4"/>
      <c r="P47" s="4"/>
      <c r="Q47" s="4"/>
    </row>
    <row r="48" customFormat="false" ht="49.5" hidden="false" customHeight="true" outlineLevel="0" collapsed="false">
      <c r="A48" s="3" t="s">
        <v>309</v>
      </c>
      <c r="B48" s="3" t="n">
        <v>5</v>
      </c>
      <c r="C48" s="3" t="s">
        <v>273</v>
      </c>
      <c r="D48" s="3" t="s">
        <v>36</v>
      </c>
      <c r="E48" s="3" t="s">
        <v>310</v>
      </c>
      <c r="F48" s="3" t="s">
        <v>311</v>
      </c>
      <c r="G48" s="3" t="s">
        <v>312</v>
      </c>
      <c r="H48" s="3" t="s">
        <v>313</v>
      </c>
      <c r="I48" s="3" t="s">
        <v>24</v>
      </c>
      <c r="J48" s="3" t="n">
        <v>2000</v>
      </c>
      <c r="K48" s="3" t="n">
        <v>3</v>
      </c>
      <c r="L48" s="3" t="s">
        <v>41</v>
      </c>
      <c r="M48" s="3" t="s">
        <v>314</v>
      </c>
      <c r="N48" s="3" t="s">
        <v>27</v>
      </c>
      <c r="O48" s="3"/>
      <c r="P48" s="3"/>
      <c r="Q48" s="3"/>
    </row>
    <row r="49" customFormat="false" ht="49.5" hidden="false" customHeight="true" outlineLevel="0" collapsed="false">
      <c r="A49" s="4" t="s">
        <v>315</v>
      </c>
      <c r="B49" s="4" t="n">
        <v>5</v>
      </c>
      <c r="C49" s="4" t="s">
        <v>273</v>
      </c>
      <c r="D49" s="4" t="s">
        <v>138</v>
      </c>
      <c r="E49" s="4" t="s">
        <v>316</v>
      </c>
      <c r="F49" s="4" t="s">
        <v>317</v>
      </c>
      <c r="G49" s="4" t="s">
        <v>318</v>
      </c>
      <c r="H49" s="4" t="s">
        <v>319</v>
      </c>
      <c r="I49" s="4" t="s">
        <v>24</v>
      </c>
      <c r="J49" s="4" t="n">
        <v>1800</v>
      </c>
      <c r="K49" s="4" t="n">
        <v>2</v>
      </c>
      <c r="L49" s="4" t="s">
        <v>41</v>
      </c>
      <c r="M49" s="4" t="s">
        <v>320</v>
      </c>
      <c r="N49" s="4" t="s">
        <v>27</v>
      </c>
      <c r="O49" s="4"/>
      <c r="P49" s="4"/>
      <c r="Q49" s="4"/>
    </row>
    <row r="50" customFormat="false" ht="49.5" hidden="false" customHeight="true" outlineLevel="0" collapsed="false">
      <c r="A50" s="3" t="s">
        <v>321</v>
      </c>
      <c r="B50" s="3" t="n">
        <v>5</v>
      </c>
      <c r="C50" s="3" t="s">
        <v>273</v>
      </c>
      <c r="D50" s="3" t="s">
        <v>36</v>
      </c>
      <c r="E50" s="3" t="s">
        <v>322</v>
      </c>
      <c r="F50" s="3" t="s">
        <v>323</v>
      </c>
      <c r="G50" s="3" t="s">
        <v>324</v>
      </c>
      <c r="H50" s="3" t="s">
        <v>325</v>
      </c>
      <c r="I50" s="3" t="s">
        <v>24</v>
      </c>
      <c r="J50" s="3" t="n">
        <v>1600</v>
      </c>
      <c r="K50" s="3" t="n">
        <v>3</v>
      </c>
      <c r="L50" s="3" t="s">
        <v>41</v>
      </c>
      <c r="M50" s="3" t="s">
        <v>326</v>
      </c>
      <c r="N50" s="3" t="s">
        <v>27</v>
      </c>
      <c r="O50" s="3"/>
      <c r="P50" s="3"/>
      <c r="Q50" s="3"/>
    </row>
    <row r="51" customFormat="false" ht="49.5" hidden="false" customHeight="true" outlineLevel="0" collapsed="false">
      <c r="A51" s="4" t="s">
        <v>327</v>
      </c>
      <c r="B51" s="4" t="n">
        <v>5</v>
      </c>
      <c r="C51" s="4" t="s">
        <v>273</v>
      </c>
      <c r="D51" s="4" t="s">
        <v>36</v>
      </c>
      <c r="E51" s="4" t="s">
        <v>328</v>
      </c>
      <c r="F51" s="4" t="s">
        <v>329</v>
      </c>
      <c r="G51" s="4" t="s">
        <v>330</v>
      </c>
      <c r="H51" s="4" t="s">
        <v>331</v>
      </c>
      <c r="I51" s="4" t="s">
        <v>24</v>
      </c>
      <c r="J51" s="4" t="n">
        <v>1700</v>
      </c>
      <c r="K51" s="4" t="n">
        <v>3</v>
      </c>
      <c r="L51" s="4" t="s">
        <v>41</v>
      </c>
      <c r="M51" s="4" t="s">
        <v>332</v>
      </c>
      <c r="N51" s="4" t="s">
        <v>27</v>
      </c>
      <c r="O51" s="4"/>
      <c r="P51" s="4"/>
      <c r="Q51" s="4"/>
    </row>
    <row r="52" customFormat="false" ht="49.5" hidden="false" customHeight="true" outlineLevel="0" collapsed="false">
      <c r="A52" s="2" t="s">
        <v>333</v>
      </c>
      <c r="B52" s="2" t="n">
        <v>6</v>
      </c>
      <c r="C52" s="2" t="s">
        <v>334</v>
      </c>
      <c r="D52" s="2" t="s">
        <v>56</v>
      </c>
      <c r="E52" s="2" t="s">
        <v>335</v>
      </c>
      <c r="F52" s="2" t="s">
        <v>336</v>
      </c>
      <c r="G52" s="2" t="s">
        <v>337</v>
      </c>
      <c r="H52" s="2" t="s">
        <v>338</v>
      </c>
      <c r="I52" s="2" t="s">
        <v>24</v>
      </c>
      <c r="J52" s="2" t="n">
        <v>1700</v>
      </c>
      <c r="K52" s="2" t="n">
        <v>1</v>
      </c>
      <c r="L52" s="2" t="s">
        <v>25</v>
      </c>
      <c r="M52" s="2" t="s">
        <v>339</v>
      </c>
      <c r="N52" s="2" t="s">
        <v>27</v>
      </c>
      <c r="O52" s="2"/>
      <c r="P52" s="2"/>
      <c r="Q52" s="2"/>
    </row>
    <row r="53" customFormat="false" ht="49.5" hidden="false" customHeight="true" outlineLevel="0" collapsed="false">
      <c r="A53" s="2" t="s">
        <v>340</v>
      </c>
      <c r="B53" s="2" t="n">
        <v>6</v>
      </c>
      <c r="C53" s="2" t="s">
        <v>334</v>
      </c>
      <c r="D53" s="2" t="s">
        <v>56</v>
      </c>
      <c r="E53" s="2" t="s">
        <v>341</v>
      </c>
      <c r="F53" s="2" t="s">
        <v>342</v>
      </c>
      <c r="G53" s="2" t="s">
        <v>343</v>
      </c>
      <c r="H53" s="2" t="s">
        <v>344</v>
      </c>
      <c r="I53" s="2" t="s">
        <v>61</v>
      </c>
      <c r="J53" s="2" t="n">
        <v>1300</v>
      </c>
      <c r="K53" s="2" t="n">
        <v>1</v>
      </c>
      <c r="L53" s="2" t="s">
        <v>25</v>
      </c>
      <c r="M53" s="2" t="s">
        <v>345</v>
      </c>
      <c r="N53" s="2" t="s">
        <v>27</v>
      </c>
      <c r="O53" s="2"/>
      <c r="P53" s="2"/>
      <c r="Q53" s="2"/>
    </row>
    <row r="54" customFormat="false" ht="49.5" hidden="false" customHeight="true" outlineLevel="0" collapsed="false">
      <c r="A54" s="3" t="s">
        <v>346</v>
      </c>
      <c r="B54" s="3" t="n">
        <v>6</v>
      </c>
      <c r="C54" s="3" t="s">
        <v>334</v>
      </c>
      <c r="D54" s="3" t="s">
        <v>56</v>
      </c>
      <c r="E54" s="3" t="s">
        <v>347</v>
      </c>
      <c r="F54" s="3" t="s">
        <v>348</v>
      </c>
      <c r="G54" s="3" t="s">
        <v>349</v>
      </c>
      <c r="H54" s="3" t="s">
        <v>350</v>
      </c>
      <c r="I54" s="3" t="s">
        <v>24</v>
      </c>
      <c r="J54" s="3" t="n">
        <v>1500</v>
      </c>
      <c r="K54" s="3" t="n">
        <v>2</v>
      </c>
      <c r="L54" s="3" t="s">
        <v>41</v>
      </c>
      <c r="M54" s="3" t="s">
        <v>351</v>
      </c>
      <c r="N54" s="3" t="s">
        <v>27</v>
      </c>
      <c r="O54" s="3"/>
      <c r="P54" s="3"/>
      <c r="Q54" s="3"/>
    </row>
    <row r="55" customFormat="false" ht="49.5" hidden="false" customHeight="true" outlineLevel="0" collapsed="false">
      <c r="A55" s="4" t="s">
        <v>352</v>
      </c>
      <c r="B55" s="4" t="n">
        <v>6</v>
      </c>
      <c r="C55" s="4" t="s">
        <v>334</v>
      </c>
      <c r="D55" s="4" t="s">
        <v>36</v>
      </c>
      <c r="E55" s="4" t="s">
        <v>353</v>
      </c>
      <c r="F55" s="4" t="s">
        <v>354</v>
      </c>
      <c r="G55" s="4" t="s">
        <v>355</v>
      </c>
      <c r="H55" s="4" t="s">
        <v>356</v>
      </c>
      <c r="I55" s="4" t="s">
        <v>24</v>
      </c>
      <c r="J55" s="4" t="n">
        <v>1400</v>
      </c>
      <c r="K55" s="4" t="n">
        <v>2</v>
      </c>
      <c r="L55" s="4" t="s">
        <v>41</v>
      </c>
      <c r="M55" s="4" t="s">
        <v>357</v>
      </c>
      <c r="N55" s="4" t="s">
        <v>27</v>
      </c>
      <c r="O55" s="4"/>
      <c r="P55" s="4"/>
      <c r="Q55" s="4"/>
    </row>
    <row r="56" customFormat="false" ht="49.5" hidden="false" customHeight="true" outlineLevel="0" collapsed="false">
      <c r="A56" s="3" t="s">
        <v>358</v>
      </c>
      <c r="B56" s="3" t="n">
        <v>6</v>
      </c>
      <c r="C56" s="3" t="s">
        <v>334</v>
      </c>
      <c r="D56" s="3" t="s">
        <v>56</v>
      </c>
      <c r="E56" s="3" t="s">
        <v>359</v>
      </c>
      <c r="F56" s="3" t="s">
        <v>360</v>
      </c>
      <c r="G56" s="3" t="s">
        <v>361</v>
      </c>
      <c r="H56" s="3" t="s">
        <v>362</v>
      </c>
      <c r="I56" s="3" t="s">
        <v>24</v>
      </c>
      <c r="J56" s="3" t="n">
        <v>1300</v>
      </c>
      <c r="K56" s="3" t="n">
        <v>3</v>
      </c>
      <c r="L56" s="3" t="s">
        <v>41</v>
      </c>
      <c r="M56" s="3" t="s">
        <v>363</v>
      </c>
      <c r="N56" s="3" t="s">
        <v>27</v>
      </c>
      <c r="O56" s="3"/>
      <c r="P56" s="3"/>
      <c r="Q56" s="3"/>
    </row>
    <row r="57" customFormat="false" ht="49.5" hidden="false" customHeight="true" outlineLevel="0" collapsed="false">
      <c r="A57" s="4" t="s">
        <v>364</v>
      </c>
      <c r="B57" s="4" t="n">
        <v>6</v>
      </c>
      <c r="C57" s="4" t="s">
        <v>334</v>
      </c>
      <c r="D57" s="4" t="s">
        <v>56</v>
      </c>
      <c r="E57" s="4" t="s">
        <v>365</v>
      </c>
      <c r="F57" s="4" t="s">
        <v>366</v>
      </c>
      <c r="G57" s="4" t="s">
        <v>367</v>
      </c>
      <c r="H57" s="4" t="s">
        <v>368</v>
      </c>
      <c r="I57" s="4" t="s">
        <v>24</v>
      </c>
      <c r="J57" s="4" t="n">
        <v>1100</v>
      </c>
      <c r="K57" s="4" t="n">
        <v>3</v>
      </c>
      <c r="L57" s="4" t="s">
        <v>41</v>
      </c>
      <c r="M57" s="4" t="s">
        <v>369</v>
      </c>
      <c r="N57" s="4" t="s">
        <v>27</v>
      </c>
      <c r="O57" s="4"/>
      <c r="P57" s="4"/>
      <c r="Q57" s="4"/>
    </row>
    <row r="58" customFormat="false" ht="49.5" hidden="false" customHeight="true" outlineLevel="0" collapsed="false">
      <c r="A58" s="3" t="s">
        <v>370</v>
      </c>
      <c r="B58" s="3" t="n">
        <v>6</v>
      </c>
      <c r="C58" s="3" t="s">
        <v>334</v>
      </c>
      <c r="D58" s="3" t="s">
        <v>36</v>
      </c>
      <c r="E58" s="3" t="s">
        <v>371</v>
      </c>
      <c r="F58" s="3" t="s">
        <v>372</v>
      </c>
      <c r="G58" s="3" t="s">
        <v>373</v>
      </c>
      <c r="H58" s="3" t="s">
        <v>374</v>
      </c>
      <c r="I58" s="3" t="s">
        <v>24</v>
      </c>
      <c r="J58" s="3" t="n">
        <v>1600</v>
      </c>
      <c r="K58" s="3" t="n">
        <v>2</v>
      </c>
      <c r="L58" s="3" t="s">
        <v>41</v>
      </c>
      <c r="M58" s="3" t="s">
        <v>375</v>
      </c>
      <c r="N58" s="3" t="s">
        <v>27</v>
      </c>
      <c r="O58" s="3"/>
      <c r="P58" s="3"/>
      <c r="Q58" s="3"/>
    </row>
    <row r="59" customFormat="false" ht="49.5" hidden="false" customHeight="true" outlineLevel="0" collapsed="false">
      <c r="A59" s="4" t="s">
        <v>376</v>
      </c>
      <c r="B59" s="4" t="n">
        <v>6</v>
      </c>
      <c r="C59" s="4" t="s">
        <v>334</v>
      </c>
      <c r="D59" s="4" t="s">
        <v>36</v>
      </c>
      <c r="E59" s="4" t="s">
        <v>377</v>
      </c>
      <c r="F59" s="4" t="s">
        <v>378</v>
      </c>
      <c r="G59" s="4" t="s">
        <v>379</v>
      </c>
      <c r="H59" s="4" t="s">
        <v>380</v>
      </c>
      <c r="I59" s="4" t="s">
        <v>24</v>
      </c>
      <c r="J59" s="4" t="n">
        <v>1300</v>
      </c>
      <c r="K59" s="4" t="n">
        <v>3</v>
      </c>
      <c r="L59" s="4" t="s">
        <v>41</v>
      </c>
      <c r="M59" s="4" t="s">
        <v>381</v>
      </c>
      <c r="N59" s="4" t="s">
        <v>27</v>
      </c>
      <c r="O59" s="4"/>
      <c r="P59" s="4"/>
      <c r="Q59" s="4"/>
    </row>
    <row r="60" customFormat="false" ht="49.5" hidden="false" customHeight="true" outlineLevel="0" collapsed="false">
      <c r="A60" s="3" t="s">
        <v>382</v>
      </c>
      <c r="B60" s="3" t="n">
        <v>6</v>
      </c>
      <c r="C60" s="3" t="s">
        <v>334</v>
      </c>
      <c r="D60" s="3" t="s">
        <v>36</v>
      </c>
      <c r="E60" s="3" t="s">
        <v>383</v>
      </c>
      <c r="F60" s="3" t="s">
        <v>384</v>
      </c>
      <c r="G60" s="3" t="s">
        <v>385</v>
      </c>
      <c r="H60" s="3" t="s">
        <v>386</v>
      </c>
      <c r="I60" s="3" t="s">
        <v>24</v>
      </c>
      <c r="J60" s="3" t="n">
        <v>1500</v>
      </c>
      <c r="K60" s="3" t="n">
        <v>3</v>
      </c>
      <c r="L60" s="3" t="s">
        <v>41</v>
      </c>
      <c r="M60" s="3" t="s">
        <v>387</v>
      </c>
      <c r="N60" s="3" t="s">
        <v>27</v>
      </c>
      <c r="O60" s="3"/>
      <c r="P60" s="3"/>
      <c r="Q60" s="3"/>
    </row>
    <row r="61" customFormat="false" ht="49.5" hidden="false" customHeight="true" outlineLevel="0" collapsed="false">
      <c r="A61" s="4" t="s">
        <v>388</v>
      </c>
      <c r="B61" s="4" t="n">
        <v>6</v>
      </c>
      <c r="C61" s="4" t="s">
        <v>334</v>
      </c>
      <c r="D61" s="4" t="s">
        <v>56</v>
      </c>
      <c r="E61" s="4" t="s">
        <v>389</v>
      </c>
      <c r="F61" s="4" t="s">
        <v>390</v>
      </c>
      <c r="G61" s="4" t="s">
        <v>391</v>
      </c>
      <c r="H61" s="4" t="s">
        <v>392</v>
      </c>
      <c r="I61" s="4" t="s">
        <v>61</v>
      </c>
      <c r="J61" s="4" t="n">
        <v>1400</v>
      </c>
      <c r="K61" s="4" t="n">
        <v>2</v>
      </c>
      <c r="L61" s="4" t="s">
        <v>41</v>
      </c>
      <c r="M61" s="4" t="s">
        <v>393</v>
      </c>
      <c r="N61" s="4" t="s">
        <v>27</v>
      </c>
      <c r="O61" s="4"/>
      <c r="P61" s="4"/>
      <c r="Q61" s="4"/>
    </row>
    <row r="62" customFormat="false" ht="49.5" hidden="false" customHeight="true" outlineLevel="0" collapsed="false">
      <c r="A62" s="2" t="s">
        <v>394</v>
      </c>
      <c r="B62" s="2" t="n">
        <v>7</v>
      </c>
      <c r="C62" s="2" t="s">
        <v>395</v>
      </c>
      <c r="D62" s="2" t="s">
        <v>138</v>
      </c>
      <c r="E62" s="2" t="s">
        <v>396</v>
      </c>
      <c r="F62" s="2" t="s">
        <v>397</v>
      </c>
      <c r="G62" s="2" t="s">
        <v>398</v>
      </c>
      <c r="H62" s="2" t="s">
        <v>399</v>
      </c>
      <c r="I62" s="2" t="s">
        <v>24</v>
      </c>
      <c r="J62" s="2" t="n">
        <v>1500</v>
      </c>
      <c r="K62" s="2" t="n">
        <v>1</v>
      </c>
      <c r="L62" s="2" t="s">
        <v>25</v>
      </c>
      <c r="M62" s="2" t="s">
        <v>400</v>
      </c>
      <c r="N62" s="2" t="s">
        <v>27</v>
      </c>
      <c r="O62" s="2"/>
      <c r="P62" s="2"/>
      <c r="Q62" s="2"/>
    </row>
    <row r="63" customFormat="false" ht="49.5" hidden="false" customHeight="true" outlineLevel="0" collapsed="false">
      <c r="A63" s="4" t="s">
        <v>401</v>
      </c>
      <c r="B63" s="4" t="n">
        <v>7</v>
      </c>
      <c r="C63" s="4" t="s">
        <v>395</v>
      </c>
      <c r="D63" s="4" t="s">
        <v>138</v>
      </c>
      <c r="E63" s="4" t="s">
        <v>402</v>
      </c>
      <c r="F63" s="4" t="s">
        <v>403</v>
      </c>
      <c r="G63" s="4" t="s">
        <v>404</v>
      </c>
      <c r="H63" s="4" t="s">
        <v>405</v>
      </c>
      <c r="I63" s="4" t="s">
        <v>24</v>
      </c>
      <c r="J63" s="4" t="n">
        <v>1300</v>
      </c>
      <c r="K63" s="4" t="n">
        <v>2</v>
      </c>
      <c r="L63" s="4" t="s">
        <v>41</v>
      </c>
      <c r="M63" s="4" t="s">
        <v>406</v>
      </c>
      <c r="N63" s="4" t="s">
        <v>27</v>
      </c>
      <c r="O63" s="4"/>
      <c r="P63" s="4"/>
      <c r="Q63" s="4"/>
    </row>
    <row r="64" customFormat="false" ht="49.5" hidden="false" customHeight="true" outlineLevel="0" collapsed="false">
      <c r="A64" s="2" t="s">
        <v>407</v>
      </c>
      <c r="B64" s="2" t="n">
        <v>7</v>
      </c>
      <c r="C64" s="2" t="s">
        <v>395</v>
      </c>
      <c r="D64" s="2" t="s">
        <v>138</v>
      </c>
      <c r="E64" s="2" t="s">
        <v>408</v>
      </c>
      <c r="F64" s="2" t="s">
        <v>409</v>
      </c>
      <c r="G64" s="2" t="s">
        <v>410</v>
      </c>
      <c r="H64" s="2" t="s">
        <v>411</v>
      </c>
      <c r="I64" s="2" t="s">
        <v>24</v>
      </c>
      <c r="J64" s="2" t="n">
        <v>1500</v>
      </c>
      <c r="K64" s="2" t="n">
        <v>1</v>
      </c>
      <c r="L64" s="2" t="s">
        <v>25</v>
      </c>
      <c r="M64" s="2" t="s">
        <v>412</v>
      </c>
      <c r="N64" s="2" t="s">
        <v>27</v>
      </c>
      <c r="O64" s="2"/>
      <c r="P64" s="2"/>
      <c r="Q64" s="2"/>
    </row>
    <row r="65" customFormat="false" ht="49.5" hidden="false" customHeight="true" outlineLevel="0" collapsed="false">
      <c r="A65" s="4" t="s">
        <v>413</v>
      </c>
      <c r="B65" s="4" t="n">
        <v>7</v>
      </c>
      <c r="C65" s="4" t="s">
        <v>395</v>
      </c>
      <c r="D65" s="4" t="s">
        <v>138</v>
      </c>
      <c r="E65" s="4" t="s">
        <v>414</v>
      </c>
      <c r="F65" s="4" t="s">
        <v>415</v>
      </c>
      <c r="G65" s="4" t="s">
        <v>416</v>
      </c>
      <c r="H65" s="4" t="s">
        <v>417</v>
      </c>
      <c r="I65" s="4" t="s">
        <v>24</v>
      </c>
      <c r="J65" s="4" t="n">
        <v>1100</v>
      </c>
      <c r="K65" s="4" t="n">
        <v>2</v>
      </c>
      <c r="L65" s="4" t="s">
        <v>41</v>
      </c>
      <c r="M65" s="4" t="s">
        <v>418</v>
      </c>
      <c r="N65" s="4" t="s">
        <v>27</v>
      </c>
      <c r="O65" s="4"/>
      <c r="P65" s="4"/>
      <c r="Q65" s="4"/>
    </row>
    <row r="66" customFormat="false" ht="49.5" hidden="false" customHeight="true" outlineLevel="0" collapsed="false">
      <c r="A66" s="3" t="s">
        <v>419</v>
      </c>
      <c r="B66" s="3" t="n">
        <v>7</v>
      </c>
      <c r="C66" s="3" t="s">
        <v>395</v>
      </c>
      <c r="D66" s="3" t="s">
        <v>138</v>
      </c>
      <c r="E66" s="3" t="s">
        <v>420</v>
      </c>
      <c r="F66" s="3" t="s">
        <v>421</v>
      </c>
      <c r="G66" s="3" t="s">
        <v>422</v>
      </c>
      <c r="H66" s="3" t="s">
        <v>423</v>
      </c>
      <c r="I66" s="3" t="s">
        <v>24</v>
      </c>
      <c r="J66" s="3" t="n">
        <v>1400</v>
      </c>
      <c r="K66" s="3" t="n">
        <v>3</v>
      </c>
      <c r="L66" s="3" t="s">
        <v>41</v>
      </c>
      <c r="M66" s="3" t="s">
        <v>424</v>
      </c>
      <c r="N66" s="3" t="s">
        <v>27</v>
      </c>
      <c r="O66" s="3"/>
      <c r="P66" s="3"/>
      <c r="Q66" s="3"/>
    </row>
    <row r="67" customFormat="false" ht="49.5" hidden="false" customHeight="true" outlineLevel="0" collapsed="false">
      <c r="A67" s="4" t="s">
        <v>425</v>
      </c>
      <c r="B67" s="4" t="n">
        <v>7</v>
      </c>
      <c r="C67" s="4" t="s">
        <v>395</v>
      </c>
      <c r="D67" s="4" t="s">
        <v>138</v>
      </c>
      <c r="E67" s="4" t="s">
        <v>426</v>
      </c>
      <c r="F67" s="4" t="s">
        <v>427</v>
      </c>
      <c r="G67" s="4" t="s">
        <v>428</v>
      </c>
      <c r="H67" s="4" t="s">
        <v>429</v>
      </c>
      <c r="I67" s="4" t="s">
        <v>24</v>
      </c>
      <c r="J67" s="4" t="n">
        <v>1200</v>
      </c>
      <c r="K67" s="4" t="n">
        <v>3</v>
      </c>
      <c r="L67" s="4" t="s">
        <v>41</v>
      </c>
      <c r="M67" s="4" t="s">
        <v>430</v>
      </c>
      <c r="N67" s="4" t="s">
        <v>27</v>
      </c>
      <c r="O67" s="4"/>
      <c r="P67" s="4"/>
      <c r="Q67" s="4"/>
    </row>
    <row r="68" customFormat="false" ht="49.5" hidden="false" customHeight="true" outlineLevel="0" collapsed="false">
      <c r="A68" s="3" t="s">
        <v>431</v>
      </c>
      <c r="B68" s="3" t="n">
        <v>7</v>
      </c>
      <c r="C68" s="3" t="s">
        <v>395</v>
      </c>
      <c r="D68" s="3" t="s">
        <v>138</v>
      </c>
      <c r="E68" s="3" t="s">
        <v>432</v>
      </c>
      <c r="F68" s="3" t="s">
        <v>433</v>
      </c>
      <c r="G68" s="3" t="s">
        <v>434</v>
      </c>
      <c r="H68" s="3" t="s">
        <v>435</v>
      </c>
      <c r="I68" s="3" t="s">
        <v>24</v>
      </c>
      <c r="J68" s="3" t="n">
        <v>1300</v>
      </c>
      <c r="K68" s="3" t="n">
        <v>3</v>
      </c>
      <c r="L68" s="3" t="s">
        <v>41</v>
      </c>
      <c r="M68" s="3" t="s">
        <v>436</v>
      </c>
      <c r="N68" s="3" t="s">
        <v>27</v>
      </c>
      <c r="O68" s="3"/>
      <c r="P68" s="3"/>
      <c r="Q68" s="3"/>
    </row>
    <row r="69" customFormat="false" ht="49.5" hidden="false" customHeight="true" outlineLevel="0" collapsed="false">
      <c r="A69" s="4" t="s">
        <v>437</v>
      </c>
      <c r="B69" s="4" t="n">
        <v>7</v>
      </c>
      <c r="C69" s="4" t="s">
        <v>395</v>
      </c>
      <c r="D69" s="4" t="s">
        <v>56</v>
      </c>
      <c r="E69" s="4" t="s">
        <v>438</v>
      </c>
      <c r="F69" s="4" t="s">
        <v>439</v>
      </c>
      <c r="G69" s="4" t="s">
        <v>440</v>
      </c>
      <c r="H69" s="4" t="s">
        <v>441</v>
      </c>
      <c r="I69" s="4" t="s">
        <v>61</v>
      </c>
      <c r="J69" s="4" t="n">
        <v>1700</v>
      </c>
      <c r="K69" s="4" t="n">
        <v>2</v>
      </c>
      <c r="L69" s="4" t="s">
        <v>41</v>
      </c>
      <c r="M69" s="4" t="s">
        <v>442</v>
      </c>
      <c r="N69" s="4" t="s">
        <v>27</v>
      </c>
      <c r="O69" s="4"/>
      <c r="P69" s="4"/>
      <c r="Q69" s="4"/>
    </row>
    <row r="70" customFormat="false" ht="49.5" hidden="false" customHeight="true" outlineLevel="0" collapsed="false">
      <c r="A70" s="3" t="s">
        <v>443</v>
      </c>
      <c r="B70" s="3" t="n">
        <v>7</v>
      </c>
      <c r="C70" s="3" t="s">
        <v>395</v>
      </c>
      <c r="D70" s="3" t="s">
        <v>138</v>
      </c>
      <c r="E70" s="3" t="s">
        <v>444</v>
      </c>
      <c r="F70" s="3" t="s">
        <v>445</v>
      </c>
      <c r="G70" s="3" t="s">
        <v>446</v>
      </c>
      <c r="H70" s="3" t="s">
        <v>447</v>
      </c>
      <c r="I70" s="3" t="s">
        <v>24</v>
      </c>
      <c r="J70" s="3" t="n">
        <v>1600</v>
      </c>
      <c r="K70" s="3" t="n">
        <v>2</v>
      </c>
      <c r="L70" s="3" t="s">
        <v>41</v>
      </c>
      <c r="M70" s="3" t="s">
        <v>448</v>
      </c>
      <c r="N70" s="3" t="s">
        <v>27</v>
      </c>
      <c r="O70" s="3"/>
      <c r="P70" s="3"/>
      <c r="Q70" s="3"/>
    </row>
    <row r="71" customFormat="false" ht="49.5" hidden="false" customHeight="true" outlineLevel="0" collapsed="false">
      <c r="A71" s="4" t="s">
        <v>449</v>
      </c>
      <c r="B71" s="4" t="n">
        <v>7</v>
      </c>
      <c r="C71" s="4" t="s">
        <v>395</v>
      </c>
      <c r="D71" s="4" t="s">
        <v>138</v>
      </c>
      <c r="E71" s="4" t="s">
        <v>450</v>
      </c>
      <c r="F71" s="4" t="s">
        <v>451</v>
      </c>
      <c r="G71" s="4" t="s">
        <v>452</v>
      </c>
      <c r="H71" s="4" t="s">
        <v>453</v>
      </c>
      <c r="I71" s="4" t="s">
        <v>24</v>
      </c>
      <c r="J71" s="4" t="n">
        <v>1400</v>
      </c>
      <c r="K71" s="4" t="n">
        <v>3</v>
      </c>
      <c r="L71" s="4" t="s">
        <v>41</v>
      </c>
      <c r="M71" s="4" t="s">
        <v>454</v>
      </c>
      <c r="N71" s="4" t="s">
        <v>27</v>
      </c>
      <c r="O71" s="4"/>
      <c r="P71" s="4"/>
      <c r="Q71" s="4"/>
    </row>
    <row r="72" customFormat="false" ht="49.5" hidden="false" customHeight="true" outlineLevel="0" collapsed="false">
      <c r="A72" s="2" t="s">
        <v>455</v>
      </c>
      <c r="B72" s="2" t="n">
        <v>8</v>
      </c>
      <c r="C72" s="2" t="s">
        <v>456</v>
      </c>
      <c r="D72" s="2" t="s">
        <v>29</v>
      </c>
      <c r="E72" s="2" t="s">
        <v>457</v>
      </c>
      <c r="F72" s="2" t="s">
        <v>458</v>
      </c>
      <c r="G72" s="2" t="s">
        <v>459</v>
      </c>
      <c r="H72" s="2" t="s">
        <v>460</v>
      </c>
      <c r="I72" s="2" t="s">
        <v>24</v>
      </c>
      <c r="J72" s="2" t="n">
        <v>1100</v>
      </c>
      <c r="K72" s="2" t="n">
        <v>1</v>
      </c>
      <c r="L72" s="2" t="s">
        <v>25</v>
      </c>
      <c r="M72" s="2" t="s">
        <v>461</v>
      </c>
      <c r="N72" s="2" t="s">
        <v>27</v>
      </c>
      <c r="O72" s="2"/>
      <c r="P72" s="2"/>
      <c r="Q72" s="2"/>
    </row>
    <row r="73" customFormat="false" ht="49.5" hidden="false" customHeight="true" outlineLevel="0" collapsed="false">
      <c r="A73" s="2" t="s">
        <v>462</v>
      </c>
      <c r="B73" s="2" t="n">
        <v>8</v>
      </c>
      <c r="C73" s="2" t="s">
        <v>456</v>
      </c>
      <c r="D73" s="2" t="s">
        <v>29</v>
      </c>
      <c r="E73" s="2" t="s">
        <v>463</v>
      </c>
      <c r="F73" s="2" t="s">
        <v>464</v>
      </c>
      <c r="G73" s="2" t="s">
        <v>465</v>
      </c>
      <c r="H73" s="2" t="s">
        <v>466</v>
      </c>
      <c r="I73" s="2" t="s">
        <v>24</v>
      </c>
      <c r="J73" s="2" t="n">
        <v>1300</v>
      </c>
      <c r="K73" s="2" t="n">
        <v>1</v>
      </c>
      <c r="L73" s="2" t="s">
        <v>25</v>
      </c>
      <c r="M73" s="2" t="s">
        <v>467</v>
      </c>
      <c r="N73" s="2" t="s">
        <v>27</v>
      </c>
      <c r="O73" s="2"/>
      <c r="P73" s="2"/>
      <c r="Q73" s="2"/>
    </row>
    <row r="74" customFormat="false" ht="49.5" hidden="false" customHeight="true" outlineLevel="0" collapsed="false">
      <c r="A74" s="3" t="s">
        <v>468</v>
      </c>
      <c r="B74" s="3" t="n">
        <v>8</v>
      </c>
      <c r="C74" s="3" t="s">
        <v>456</v>
      </c>
      <c r="D74" s="3" t="s">
        <v>19</v>
      </c>
      <c r="E74" s="3" t="s">
        <v>469</v>
      </c>
      <c r="F74" s="3" t="s">
        <v>470</v>
      </c>
      <c r="G74" s="3" t="s">
        <v>471</v>
      </c>
      <c r="H74" s="3" t="s">
        <v>472</v>
      </c>
      <c r="I74" s="3" t="s">
        <v>24</v>
      </c>
      <c r="J74" s="3" t="n">
        <v>1100</v>
      </c>
      <c r="K74" s="3" t="n">
        <v>3</v>
      </c>
      <c r="L74" s="3" t="s">
        <v>41</v>
      </c>
      <c r="M74" s="3" t="s">
        <v>473</v>
      </c>
      <c r="N74" s="3" t="s">
        <v>27</v>
      </c>
      <c r="O74" s="3"/>
      <c r="P74" s="3"/>
      <c r="Q74" s="3"/>
    </row>
    <row r="75" customFormat="false" ht="49.5" hidden="false" customHeight="true" outlineLevel="0" collapsed="false">
      <c r="A75" s="4" t="s">
        <v>474</v>
      </c>
      <c r="B75" s="4" t="n">
        <v>8</v>
      </c>
      <c r="C75" s="4" t="s">
        <v>456</v>
      </c>
      <c r="D75" s="4" t="s">
        <v>19</v>
      </c>
      <c r="E75" s="4" t="s">
        <v>475</v>
      </c>
      <c r="F75" s="4" t="s">
        <v>476</v>
      </c>
      <c r="G75" s="4" t="s">
        <v>477</v>
      </c>
      <c r="H75" s="4" t="s">
        <v>478</v>
      </c>
      <c r="I75" s="4" t="s">
        <v>24</v>
      </c>
      <c r="J75" s="4" t="n">
        <v>1300</v>
      </c>
      <c r="K75" s="4" t="n">
        <v>2</v>
      </c>
      <c r="L75" s="4" t="s">
        <v>41</v>
      </c>
      <c r="M75" s="4" t="s">
        <v>479</v>
      </c>
      <c r="N75" s="4" t="s">
        <v>27</v>
      </c>
      <c r="O75" s="4"/>
      <c r="P75" s="4"/>
      <c r="Q75" s="4"/>
    </row>
    <row r="76" customFormat="false" ht="49.5" hidden="false" customHeight="true" outlineLevel="0" collapsed="false">
      <c r="A76" s="3" t="s">
        <v>480</v>
      </c>
      <c r="B76" s="3" t="n">
        <v>8</v>
      </c>
      <c r="C76" s="3" t="s">
        <v>456</v>
      </c>
      <c r="D76" s="3" t="s">
        <v>29</v>
      </c>
      <c r="E76" s="3" t="s">
        <v>481</v>
      </c>
      <c r="F76" s="3" t="s">
        <v>482</v>
      </c>
      <c r="G76" s="3" t="s">
        <v>483</v>
      </c>
      <c r="H76" s="3" t="s">
        <v>484</v>
      </c>
      <c r="I76" s="3" t="s">
        <v>24</v>
      </c>
      <c r="J76" s="3" t="n">
        <v>1500</v>
      </c>
      <c r="K76" s="3" t="n">
        <v>2</v>
      </c>
      <c r="L76" s="3" t="s">
        <v>41</v>
      </c>
      <c r="M76" s="3" t="s">
        <v>485</v>
      </c>
      <c r="N76" s="3" t="s">
        <v>27</v>
      </c>
      <c r="O76" s="3"/>
      <c r="P76" s="3"/>
      <c r="Q76" s="3"/>
    </row>
    <row r="77" customFormat="false" ht="49.5" hidden="false" customHeight="true" outlineLevel="0" collapsed="false">
      <c r="A77" s="4" t="s">
        <v>486</v>
      </c>
      <c r="B77" s="4" t="n">
        <v>8</v>
      </c>
      <c r="C77" s="4" t="s">
        <v>456</v>
      </c>
      <c r="D77" s="4" t="s">
        <v>29</v>
      </c>
      <c r="E77" s="4" t="s">
        <v>487</v>
      </c>
      <c r="F77" s="4" t="s">
        <v>488</v>
      </c>
      <c r="G77" s="4" t="s">
        <v>489</v>
      </c>
      <c r="H77" s="4" t="s">
        <v>490</v>
      </c>
      <c r="I77" s="4" t="s">
        <v>24</v>
      </c>
      <c r="J77" s="4" t="n">
        <v>1300</v>
      </c>
      <c r="K77" s="4" t="n">
        <v>3</v>
      </c>
      <c r="L77" s="4" t="s">
        <v>41</v>
      </c>
      <c r="M77" s="4" t="s">
        <v>491</v>
      </c>
      <c r="N77" s="4" t="s">
        <v>27</v>
      </c>
      <c r="O77" s="4"/>
      <c r="P77" s="4"/>
      <c r="Q77" s="4"/>
    </row>
    <row r="78" customFormat="false" ht="49.5" hidden="false" customHeight="true" outlineLevel="0" collapsed="false">
      <c r="A78" s="3" t="s">
        <v>492</v>
      </c>
      <c r="B78" s="3" t="n">
        <v>8</v>
      </c>
      <c r="C78" s="3" t="s">
        <v>456</v>
      </c>
      <c r="D78" s="3" t="s">
        <v>29</v>
      </c>
      <c r="E78" s="3" t="s">
        <v>493</v>
      </c>
      <c r="F78" s="3" t="s">
        <v>494</v>
      </c>
      <c r="G78" s="3" t="s">
        <v>495</v>
      </c>
      <c r="H78" s="3" t="s">
        <v>496</v>
      </c>
      <c r="I78" s="3" t="s">
        <v>24</v>
      </c>
      <c r="J78" s="3" t="n">
        <v>1100</v>
      </c>
      <c r="K78" s="3" t="n">
        <v>3</v>
      </c>
      <c r="L78" s="3" t="s">
        <v>41</v>
      </c>
      <c r="M78" s="3" t="s">
        <v>497</v>
      </c>
      <c r="N78" s="3" t="s">
        <v>27</v>
      </c>
      <c r="O78" s="3"/>
      <c r="P78" s="3"/>
      <c r="Q78" s="3"/>
    </row>
    <row r="79" customFormat="false" ht="49.5" hidden="false" customHeight="true" outlineLevel="0" collapsed="false">
      <c r="A79" s="4" t="s">
        <v>498</v>
      </c>
      <c r="B79" s="4" t="n">
        <v>8</v>
      </c>
      <c r="C79" s="4" t="s">
        <v>456</v>
      </c>
      <c r="D79" s="4" t="s">
        <v>19</v>
      </c>
      <c r="E79" s="4" t="s">
        <v>499</v>
      </c>
      <c r="F79" s="4" t="s">
        <v>500</v>
      </c>
      <c r="G79" s="4" t="s">
        <v>501</v>
      </c>
      <c r="H79" s="4" t="s">
        <v>502</v>
      </c>
      <c r="I79" s="4" t="s">
        <v>24</v>
      </c>
      <c r="J79" s="4" t="n">
        <v>1100</v>
      </c>
      <c r="K79" s="4" t="n">
        <v>3</v>
      </c>
      <c r="L79" s="4" t="s">
        <v>41</v>
      </c>
      <c r="M79" s="4" t="s">
        <v>503</v>
      </c>
      <c r="N79" s="4" t="s">
        <v>27</v>
      </c>
      <c r="O79" s="4"/>
      <c r="P79" s="4"/>
      <c r="Q79" s="4"/>
    </row>
    <row r="80" customFormat="false" ht="49.5" hidden="false" customHeight="true" outlineLevel="0" collapsed="false">
      <c r="A80" s="3" t="s">
        <v>504</v>
      </c>
      <c r="B80" s="3" t="n">
        <v>8</v>
      </c>
      <c r="C80" s="3" t="s">
        <v>456</v>
      </c>
      <c r="D80" s="3" t="s">
        <v>119</v>
      </c>
      <c r="E80" s="3" t="s">
        <v>505</v>
      </c>
      <c r="F80" s="3" t="s">
        <v>506</v>
      </c>
      <c r="G80" s="3" t="s">
        <v>507</v>
      </c>
      <c r="H80" s="3" t="s">
        <v>508</v>
      </c>
      <c r="I80" s="3" t="s">
        <v>24</v>
      </c>
      <c r="J80" s="3" t="n">
        <v>1400</v>
      </c>
      <c r="K80" s="3" t="n">
        <v>3</v>
      </c>
      <c r="L80" s="3" t="s">
        <v>41</v>
      </c>
      <c r="M80" s="3" t="s">
        <v>509</v>
      </c>
      <c r="N80" s="3" t="s">
        <v>27</v>
      </c>
      <c r="O80" s="3"/>
      <c r="P80" s="3"/>
      <c r="Q80" s="3"/>
    </row>
    <row r="81" customFormat="false" ht="49.5" hidden="false" customHeight="true" outlineLevel="0" collapsed="false">
      <c r="A81" s="4" t="s">
        <v>510</v>
      </c>
      <c r="B81" s="4" t="n">
        <v>8</v>
      </c>
      <c r="C81" s="4" t="s">
        <v>456</v>
      </c>
      <c r="D81" s="4" t="s">
        <v>119</v>
      </c>
      <c r="E81" s="4" t="s">
        <v>511</v>
      </c>
      <c r="F81" s="4" t="s">
        <v>512</v>
      </c>
      <c r="G81" s="4" t="s">
        <v>513</v>
      </c>
      <c r="H81" s="4" t="s">
        <v>514</v>
      </c>
      <c r="I81" s="4" t="s">
        <v>24</v>
      </c>
      <c r="J81" s="4" t="n">
        <v>1500</v>
      </c>
      <c r="K81" s="4" t="n">
        <v>2</v>
      </c>
      <c r="L81" s="4" t="s">
        <v>41</v>
      </c>
      <c r="M81" s="4" t="s">
        <v>515</v>
      </c>
      <c r="N81" s="4" t="s">
        <v>27</v>
      </c>
      <c r="O81" s="4"/>
      <c r="P81" s="4"/>
      <c r="Q81" s="4"/>
    </row>
    <row r="84" customFormat="false" ht="15" hidden="false" customHeight="false" outlineLevel="0" collapsed="false">
      <c r="A84" s="5" t="s">
        <v>516</v>
      </c>
    </row>
    <row r="85" customFormat="false" ht="23.85" hidden="false" customHeight="false" outlineLevel="0" collapsed="false">
      <c r="A85" s="1" t="s">
        <v>517</v>
      </c>
      <c r="B85" s="1" t="s">
        <v>518</v>
      </c>
      <c r="C85" s="1" t="s">
        <v>519</v>
      </c>
      <c r="D85" s="1" t="s">
        <v>520</v>
      </c>
      <c r="E85" s="1" t="s">
        <v>521</v>
      </c>
    </row>
    <row r="86" customFormat="false" ht="23.85" hidden="false" customHeight="false" outlineLevel="0" collapsed="false">
      <c r="A86" s="4" t="n">
        <v>1</v>
      </c>
      <c r="B86" s="4" t="s">
        <v>18</v>
      </c>
      <c r="C86" s="4" t="n">
        <f aca="false">COUNTIF(B2:B81,1)</f>
        <v>10</v>
      </c>
      <c r="D86" s="4" t="n">
        <f aca="false">SUMIF(B2:B81,1,J2:J81)</f>
        <v>13800</v>
      </c>
      <c r="E86" s="4" t="n">
        <f aca="false">COUNTIFS(B2:B81,1,L2:L81,"TRUE")</f>
        <v>2</v>
      </c>
    </row>
    <row r="87" customFormat="false" ht="23.85" hidden="false" customHeight="false" outlineLevel="0" collapsed="false">
      <c r="A87" s="3" t="n">
        <v>2</v>
      </c>
      <c r="B87" s="3" t="s">
        <v>88</v>
      </c>
      <c r="C87" s="3" t="n">
        <f aca="false">COUNTIF(B2:B81,2)</f>
        <v>10</v>
      </c>
      <c r="D87" s="3" t="n">
        <f aca="false">SUMIF(B2:B81,2,J2:J81)</f>
        <v>14500</v>
      </c>
      <c r="E87" s="3" t="n">
        <f aca="false">COUNTIFS(B2:B81,2,L2:L81,"TRUE")</f>
        <v>2</v>
      </c>
    </row>
    <row r="88" customFormat="false" ht="23.85" hidden="false" customHeight="false" outlineLevel="0" collapsed="false">
      <c r="A88" s="4" t="n">
        <v>3</v>
      </c>
      <c r="B88" s="4" t="s">
        <v>151</v>
      </c>
      <c r="C88" s="4" t="n">
        <f aca="false">COUNTIF(B2:B81,3)</f>
        <v>10</v>
      </c>
      <c r="D88" s="4" t="n">
        <f aca="false">SUMIF(B2:B81,3,J2:J81)</f>
        <v>14500</v>
      </c>
      <c r="E88" s="4" t="n">
        <f aca="false">COUNTIFS(B2:B81,3,L2:L81,"TRUE")</f>
        <v>1</v>
      </c>
    </row>
    <row r="89" customFormat="false" ht="46.25" hidden="false" customHeight="false" outlineLevel="0" collapsed="false">
      <c r="A89" s="3" t="n">
        <v>4</v>
      </c>
      <c r="B89" s="3" t="s">
        <v>212</v>
      </c>
      <c r="C89" s="3" t="n">
        <f aca="false">COUNTIF(B2:B81,4)</f>
        <v>10</v>
      </c>
      <c r="D89" s="3" t="n">
        <f aca="false">SUMIF(B2:B81,4,J2:J81)</f>
        <v>14900</v>
      </c>
      <c r="E89" s="3" t="n">
        <f aca="false">COUNTIFS(B2:B81,4,L2:L81,"TRUE")</f>
        <v>2</v>
      </c>
    </row>
    <row r="90" customFormat="false" ht="57.45" hidden="false" customHeight="false" outlineLevel="0" collapsed="false">
      <c r="A90" s="4" t="n">
        <v>5</v>
      </c>
      <c r="B90" s="4" t="s">
        <v>273</v>
      </c>
      <c r="C90" s="4" t="n">
        <f aca="false">COUNTIF(B2:B81,5)</f>
        <v>10</v>
      </c>
      <c r="D90" s="4" t="n">
        <f aca="false">SUMIF(B2:B81,5,J2:J81)</f>
        <v>17700</v>
      </c>
      <c r="E90" s="4" t="n">
        <f aca="false">COUNTIFS(B2:B81,5,L2:L81,"TRUE")</f>
        <v>3</v>
      </c>
    </row>
    <row r="91" customFormat="false" ht="35.05" hidden="false" customHeight="false" outlineLevel="0" collapsed="false">
      <c r="A91" s="3" t="n">
        <v>6</v>
      </c>
      <c r="B91" s="3" t="s">
        <v>334</v>
      </c>
      <c r="C91" s="3" t="n">
        <f aca="false">COUNTIF(B2:B81,6)</f>
        <v>10</v>
      </c>
      <c r="D91" s="3" t="n">
        <f aca="false">SUMIF(B2:B81,6,J2:J81)</f>
        <v>14100</v>
      </c>
      <c r="E91" s="3" t="n">
        <f aca="false">COUNTIFS(B2:B81,6,L2:L81,"TRUE")</f>
        <v>2</v>
      </c>
    </row>
    <row r="92" customFormat="false" ht="46.25" hidden="false" customHeight="false" outlineLevel="0" collapsed="false">
      <c r="A92" s="4" t="n">
        <v>7</v>
      </c>
      <c r="B92" s="4" t="s">
        <v>395</v>
      </c>
      <c r="C92" s="4" t="n">
        <f aca="false">COUNTIF(B2:B81,7)</f>
        <v>10</v>
      </c>
      <c r="D92" s="4" t="n">
        <f aca="false">SUMIF(B2:B81,7,J2:J81)</f>
        <v>14000</v>
      </c>
      <c r="E92" s="4" t="n">
        <f aca="false">COUNTIFS(B2:B81,7,L2:L81,"TRUE")</f>
        <v>2</v>
      </c>
    </row>
    <row r="93" customFormat="false" ht="46.25" hidden="false" customHeight="false" outlineLevel="0" collapsed="false">
      <c r="A93" s="3" t="n">
        <v>8</v>
      </c>
      <c r="B93" s="3" t="s">
        <v>456</v>
      </c>
      <c r="C93" s="3" t="n">
        <f aca="false">COUNTIF(B2:B81,8)</f>
        <v>10</v>
      </c>
      <c r="D93" s="3" t="n">
        <f aca="false">SUMIF(B2:B81,8,J2:J81)</f>
        <v>12700</v>
      </c>
      <c r="E93" s="3" t="n">
        <f aca="false">COUNTIFS(B2:B81,8,L2:L81,"TRUE")</f>
        <v>2</v>
      </c>
    </row>
    <row r="94" customFormat="false" ht="15" hidden="false" customHeight="false" outlineLevel="0" collapsed="false">
      <c r="B94" s="6" t="s">
        <v>522</v>
      </c>
      <c r="C94" s="6" t="n">
        <f aca="false">SUM(C86:C93)</f>
        <v>80</v>
      </c>
      <c r="D94" s="6" t="n">
        <f aca="false">SUM(D86:D93)</f>
        <v>116200</v>
      </c>
      <c r="E94" s="6" t="n">
        <f aca="false">SUM(E86:E93)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7" t="s">
        <v>523</v>
      </c>
    </row>
    <row r="3" customFormat="false" ht="31.5" hidden="false" customHeight="true" outlineLevel="0" collapsed="false">
      <c r="A3" s="8" t="s">
        <v>524</v>
      </c>
      <c r="B3" s="9" t="s">
        <v>525</v>
      </c>
    </row>
    <row r="4" customFormat="false" ht="31.5" hidden="false" customHeight="true" outlineLevel="0" collapsed="false">
      <c r="A4" s="8" t="s">
        <v>526</v>
      </c>
      <c r="B4" s="9" t="s">
        <v>527</v>
      </c>
    </row>
    <row r="6" customFormat="false" ht="21.75" hidden="false" customHeight="true" outlineLevel="0" collapsed="false">
      <c r="A6" s="10" t="s">
        <v>528</v>
      </c>
    </row>
    <row r="7" customFormat="false" ht="31.5" hidden="false" customHeight="true" outlineLevel="0" collapsed="false">
      <c r="A7" s="8" t="s">
        <v>0</v>
      </c>
      <c r="B7" s="9" t="s">
        <v>529</v>
      </c>
    </row>
    <row r="8" customFormat="false" ht="31.5" hidden="false" customHeight="true" outlineLevel="0" collapsed="false">
      <c r="A8" s="8" t="s">
        <v>1</v>
      </c>
      <c r="B8" s="9" t="s">
        <v>530</v>
      </c>
    </row>
    <row r="9" customFormat="false" ht="31.5" hidden="false" customHeight="true" outlineLevel="0" collapsed="false">
      <c r="A9" s="8" t="s">
        <v>2</v>
      </c>
      <c r="B9" s="9" t="s">
        <v>531</v>
      </c>
    </row>
    <row r="10" customFormat="false" ht="31.5" hidden="false" customHeight="true" outlineLevel="0" collapsed="false">
      <c r="A10" s="8" t="s">
        <v>3</v>
      </c>
      <c r="B10" s="9" t="s">
        <v>532</v>
      </c>
    </row>
    <row r="11" customFormat="false" ht="31.5" hidden="false" customHeight="true" outlineLevel="0" collapsed="false">
      <c r="A11" s="8" t="s">
        <v>4</v>
      </c>
      <c r="B11" s="9" t="s">
        <v>533</v>
      </c>
    </row>
    <row r="12" customFormat="false" ht="31.5" hidden="false" customHeight="true" outlineLevel="0" collapsed="false">
      <c r="A12" s="8" t="s">
        <v>5</v>
      </c>
      <c r="B12" s="9" t="s">
        <v>534</v>
      </c>
    </row>
    <row r="13" customFormat="false" ht="31.5" hidden="false" customHeight="true" outlineLevel="0" collapsed="false">
      <c r="A13" s="8" t="s">
        <v>6</v>
      </c>
      <c r="B13" s="9" t="s">
        <v>535</v>
      </c>
    </row>
    <row r="14" customFormat="false" ht="31.5" hidden="false" customHeight="true" outlineLevel="0" collapsed="false">
      <c r="A14" s="8" t="s">
        <v>7</v>
      </c>
      <c r="B14" s="9" t="s">
        <v>536</v>
      </c>
    </row>
    <row r="15" customFormat="false" ht="31.5" hidden="false" customHeight="true" outlineLevel="0" collapsed="false">
      <c r="A15" s="8" t="s">
        <v>8</v>
      </c>
      <c r="B15" s="9" t="s">
        <v>537</v>
      </c>
    </row>
    <row r="16" customFormat="false" ht="31.5" hidden="false" customHeight="true" outlineLevel="0" collapsed="false">
      <c r="A16" s="8" t="s">
        <v>9</v>
      </c>
      <c r="B16" s="9" t="s">
        <v>538</v>
      </c>
    </row>
    <row r="17" customFormat="false" ht="31.5" hidden="false" customHeight="true" outlineLevel="0" collapsed="false">
      <c r="A17" s="8" t="s">
        <v>10</v>
      </c>
      <c r="B17" s="9" t="s">
        <v>539</v>
      </c>
    </row>
    <row r="18" customFormat="false" ht="31.5" hidden="false" customHeight="true" outlineLevel="0" collapsed="false">
      <c r="A18" s="8" t="s">
        <v>11</v>
      </c>
      <c r="B18" s="9" t="s">
        <v>540</v>
      </c>
    </row>
    <row r="19" customFormat="false" ht="31.5" hidden="false" customHeight="true" outlineLevel="0" collapsed="false">
      <c r="A19" s="8" t="s">
        <v>12</v>
      </c>
      <c r="B19" s="9" t="s">
        <v>541</v>
      </c>
    </row>
    <row r="20" customFormat="false" ht="31.5" hidden="false" customHeight="true" outlineLevel="0" collapsed="false">
      <c r="A20" s="8" t="s">
        <v>13</v>
      </c>
      <c r="B20" s="9" t="s">
        <v>542</v>
      </c>
    </row>
    <row r="21" customFormat="false" ht="31.5" hidden="false" customHeight="true" outlineLevel="0" collapsed="false">
      <c r="A21" s="8" t="s">
        <v>14</v>
      </c>
      <c r="B21" s="9" t="s">
        <v>543</v>
      </c>
    </row>
    <row r="22" customFormat="false" ht="31.5" hidden="false" customHeight="true" outlineLevel="0" collapsed="false">
      <c r="A22" s="8" t="s">
        <v>15</v>
      </c>
      <c r="B22" s="9" t="s">
        <v>544</v>
      </c>
    </row>
    <row r="23" customFormat="false" ht="31.5" hidden="false" customHeight="true" outlineLevel="0" collapsed="false">
      <c r="A23" s="8" t="s">
        <v>16</v>
      </c>
      <c r="B23" s="9" t="s">
        <v>545</v>
      </c>
    </row>
    <row r="25" customFormat="false" ht="21.75" hidden="false" customHeight="true" outlineLevel="0" collapsed="false">
      <c r="A25" s="10" t="s">
        <v>546</v>
      </c>
    </row>
    <row r="26" customFormat="false" ht="31.5" hidden="false" customHeight="true" outlineLevel="0" collapsed="false">
      <c r="A26" s="8" t="s">
        <v>547</v>
      </c>
      <c r="B26" s="9" t="s">
        <v>548</v>
      </c>
    </row>
    <row r="27" customFormat="false" ht="31.5" hidden="false" customHeight="true" outlineLevel="0" collapsed="false">
      <c r="A27" s="8" t="s">
        <v>549</v>
      </c>
      <c r="B27" s="9" t="s">
        <v>550</v>
      </c>
    </row>
    <row r="28" customFormat="false" ht="31.5" hidden="false" customHeight="true" outlineLevel="0" collapsed="false">
      <c r="A28" s="8" t="s">
        <v>551</v>
      </c>
      <c r="B28" s="9" t="s">
        <v>552</v>
      </c>
    </row>
    <row r="29" customFormat="false" ht="31.5" hidden="false" customHeight="true" outlineLevel="0" collapsed="false">
      <c r="A29" s="8" t="s">
        <v>553</v>
      </c>
      <c r="B29" s="9" t="s">
        <v>554</v>
      </c>
    </row>
    <row r="30" customFormat="false" ht="31.5" hidden="false" customHeight="true" outlineLevel="0" collapsed="false">
      <c r="A30" s="8" t="s">
        <v>555</v>
      </c>
      <c r="B30" s="9" t="s">
        <v>556</v>
      </c>
    </row>
    <row r="32" customFormat="false" ht="21.75" hidden="false" customHeight="true" outlineLevel="0" collapsed="false">
      <c r="A32" s="10" t="s">
        <v>557</v>
      </c>
    </row>
    <row r="33" customFormat="false" ht="31.5" hidden="false" customHeight="true" outlineLevel="0" collapsed="false">
      <c r="A33" s="8" t="s">
        <v>558</v>
      </c>
      <c r="B33" s="9" t="s">
        <v>559</v>
      </c>
    </row>
    <row r="34" customFormat="false" ht="31.5" hidden="false" customHeight="true" outlineLevel="0" collapsed="false">
      <c r="A34" s="8" t="s">
        <v>560</v>
      </c>
      <c r="B34" s="9" t="s">
        <v>561</v>
      </c>
    </row>
    <row r="35" customFormat="false" ht="31.5" hidden="false" customHeight="true" outlineLevel="0" collapsed="false">
      <c r="A35" s="8" t="s">
        <v>562</v>
      </c>
      <c r="B35" s="9" t="s">
        <v>563</v>
      </c>
    </row>
    <row r="36" customFormat="false" ht="31.5" hidden="false" customHeight="true" outlineLevel="0" collapsed="false">
      <c r="A36" s="8" t="s">
        <v>564</v>
      </c>
      <c r="B36" s="9" t="s">
        <v>565</v>
      </c>
    </row>
    <row r="37" customFormat="false" ht="31.5" hidden="false" customHeight="true" outlineLevel="0" collapsed="false">
      <c r="A37" s="8" t="s">
        <v>566</v>
      </c>
      <c r="B37" s="9" t="s">
        <v>567</v>
      </c>
    </row>
    <row r="38" customFormat="false" ht="31.5" hidden="false" customHeight="true" outlineLevel="0" collapsed="false">
      <c r="A38" s="8" t="s">
        <v>568</v>
      </c>
      <c r="B38" s="9" t="s">
        <v>569</v>
      </c>
    </row>
    <row r="39" customFormat="false" ht="31.5" hidden="false" customHeight="true" outlineLevel="0" collapsed="false">
      <c r="A39" s="8" t="s">
        <v>570</v>
      </c>
      <c r="B39" s="9" t="s">
        <v>571</v>
      </c>
    </row>
    <row r="40" customFormat="false" ht="31.5" hidden="false" customHeight="true" outlineLevel="0" collapsed="false">
      <c r="A40" s="8" t="s">
        <v>572</v>
      </c>
      <c r="B40" s="9" t="s">
        <v>573</v>
      </c>
    </row>
    <row r="42" customFormat="false" ht="21.75" hidden="false" customHeight="true" outlineLevel="0" collapsed="false">
      <c r="A42" s="10" t="s">
        <v>574</v>
      </c>
    </row>
    <row r="43" customFormat="false" ht="31.5" hidden="false" customHeight="true" outlineLevel="0" collapsed="false">
      <c r="A43" s="8" t="s">
        <v>575</v>
      </c>
      <c r="B43" s="9" t="s">
        <v>576</v>
      </c>
    </row>
    <row r="44" customFormat="false" ht="31.5" hidden="false" customHeight="true" outlineLevel="0" collapsed="false">
      <c r="A44" s="8" t="s">
        <v>577</v>
      </c>
      <c r="B44" s="9" t="s">
        <v>578</v>
      </c>
    </row>
    <row r="45" customFormat="false" ht="31.5" hidden="false" customHeight="true" outlineLevel="0" collapsed="false">
      <c r="A45" s="8" t="s">
        <v>579</v>
      </c>
      <c r="B45" s="9" t="s">
        <v>580</v>
      </c>
    </row>
    <row r="46" customFormat="false" ht="31.5" hidden="false" customHeight="true" outlineLevel="0" collapsed="false">
      <c r="A46" s="8" t="s">
        <v>581</v>
      </c>
      <c r="B46" s="9" t="s">
        <v>582</v>
      </c>
    </row>
    <row r="47" customFormat="false" ht="31.5" hidden="false" customHeight="true" outlineLevel="0" collapsed="false">
      <c r="A47" s="8" t="s">
        <v>583</v>
      </c>
      <c r="B47" s="9" t="s">
        <v>584</v>
      </c>
    </row>
    <row r="48" customFormat="false" ht="31.5" hidden="false" customHeight="true" outlineLevel="0" collapsed="false">
      <c r="A48" s="8" t="s">
        <v>585</v>
      </c>
      <c r="B48" s="9" t="s">
        <v>586</v>
      </c>
    </row>
    <row r="49" customFormat="false" ht="31.5" hidden="false" customHeight="true" outlineLevel="0" collapsed="false">
      <c r="A49" s="8" t="s">
        <v>587</v>
      </c>
      <c r="B49" s="9" t="s">
        <v>588</v>
      </c>
    </row>
    <row r="50" customFormat="false" ht="31.5" hidden="false" customHeight="true" outlineLevel="0" collapsed="false">
      <c r="A50" s="8" t="s">
        <v>589</v>
      </c>
      <c r="B50" s="9" t="s">
        <v>590</v>
      </c>
    </row>
    <row r="51" customFormat="false" ht="31.5" hidden="false" customHeight="true" outlineLevel="0" collapsed="false">
      <c r="A51" s="8" t="s">
        <v>591</v>
      </c>
      <c r="B51" s="9" t="s">
        <v>592</v>
      </c>
    </row>
    <row r="53" customFormat="false" ht="21.75" hidden="false" customHeight="true" outlineLevel="0" collapsed="false">
      <c r="A53" s="10" t="s">
        <v>593</v>
      </c>
    </row>
    <row r="54" customFormat="false" ht="31.5" hidden="false" customHeight="true" outlineLevel="0" collapsed="false">
      <c r="A54" s="8" t="s">
        <v>594</v>
      </c>
      <c r="B54" s="9" t="s">
        <v>595</v>
      </c>
    </row>
    <row r="55" customFormat="false" ht="31.5" hidden="false" customHeight="true" outlineLevel="0" collapsed="false">
      <c r="A55" s="8" t="s">
        <v>596</v>
      </c>
      <c r="B55" s="9" t="s">
        <v>597</v>
      </c>
    </row>
    <row r="56" customFormat="false" ht="31.5" hidden="false" customHeight="true" outlineLevel="0" collapsed="false">
      <c r="A56" s="8" t="s">
        <v>598</v>
      </c>
      <c r="B56" s="9" t="s">
        <v>599</v>
      </c>
    </row>
    <row r="58" customFormat="false" ht="21.75" hidden="false" customHeight="true" outlineLevel="0" collapsed="false">
      <c r="A58" s="10" t="s">
        <v>600</v>
      </c>
    </row>
    <row r="59" customFormat="false" ht="31.5" hidden="false" customHeight="true" outlineLevel="0" collapsed="false">
      <c r="A59" s="8" t="s">
        <v>601</v>
      </c>
      <c r="B59" s="9" t="s">
        <v>602</v>
      </c>
    </row>
    <row r="60" customFormat="false" ht="31.5" hidden="false" customHeight="true" outlineLevel="0" collapsed="false">
      <c r="A60" s="8" t="s">
        <v>603</v>
      </c>
      <c r="B60" s="9" t="s">
        <v>604</v>
      </c>
    </row>
    <row r="61" customFormat="false" ht="31.5" hidden="false" customHeight="true" outlineLevel="0" collapsed="false">
      <c r="A61" s="8" t="s">
        <v>605</v>
      </c>
      <c r="B61" s="9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2026-05-01T22:09:47Z</dcterms:created>
  <dc:creator>openpyxl</dc:creator>
  <dc:description/>
  <dc:language>en-US</dc:language>
  <cp:lastModifiedBy/>
  <dcterms:modified xsi:type="dcterms:W3CDTF">2026-05-01T22:09:47Z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